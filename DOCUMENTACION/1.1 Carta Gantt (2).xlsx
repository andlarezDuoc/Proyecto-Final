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4"/>
    <sheet state="visible" name="GanttChartPro" sheetId="2" r:id="rId5"/>
    <sheet state="visible" name="Help" sheetId="3" r:id="rId6"/>
    <sheet state="visible" name="TermsOfUse" sheetId="4" r:id="rId7"/>
  </sheets>
  <definedNames>
    <definedName name="valuevx">42.314159</definedName>
    <definedName name="vertex42_copyright">"© 2006-2018 Vertex42 LLC"</definedName>
    <definedName name="vertex42_id">"gantt-chart_L.xlsx"</definedName>
    <definedName name="vertex42_title">"Gantt Chart Template"</definedName>
    <definedName localSheetId="0" name="prevWBS">GanttChart!$A$1048553</definedName>
  </definedNames>
  <calcPr/>
  <extLst>
    <ext uri="GoogleSheetsCustomDataVersion2">
      <go:sheetsCustomData xmlns:go="http://customooxmlschemas.google.com/" r:id="rId8" roundtripDataChecksum="dgK7DUZP1g9H0zyrO+6wBNKgk2VKhogAosY+bj1+qz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ID#AAAB5CcYwKM
Predecessor Tasks    (2026-04-28 16:28:40)
You can use this column to enter the WBS of a predecessor for reference. The PRO version uses formulas to automatically calculate the Start Date based on the Predecessor.</t>
      </text>
    </comment>
    <comment authorId="0" ref="H7">
      <text>
        <t xml:space="preserve">======
ID#AAAB5CcYwKI
Vertex42    (2026-04-28 16:28:40)
Percent Complete
Update the status of this task by entering the percent complete (between 0% and 100%).</t>
      </text>
    </comment>
    <comment authorId="0" ref="G7">
      <text>
        <t xml:space="preserve">======
ID#AAAB5CcYwKE
Vertex42    (2026-04-28 16:28:40)
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t>
      </text>
    </comment>
    <comment authorId="0" ref="E7">
      <text>
        <t xml:space="preserve">======
ID#AAAB5CcYwJ8
Vertex42    (2026-04-28 16:28:40)
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F7">
      <text>
        <t xml:space="preserve">======
ID#AAAB5CcYwKA
End Date    (2026-04-28 16:28:40)
The End Date is calculated based on the Start Date and the Calendar Days columns.</t>
      </text>
    </comment>
    <comment authorId="0" ref="C7">
      <text>
        <t xml:space="preserve">======
ID#AAAB5CcYwJ4
Vertex42    (2026-04-28 16:28:40)
Task Lead
Enter the name of the Task Lead in this column.</t>
      </text>
    </comment>
    <comment authorId="0" ref="I7">
      <text>
        <t xml:space="preserve">======
ID#AAAB5CcYwJw
Vertex42    (2026-04-28 16:28:40)
Work Days
Counts the number of work days, excluding the weekends (Saturday and Sunday). In the PRO version, you can customize the work week and list specific non-working days like holidays. In the PRO version, the default input is the Work Days instead of the Calendar Days.</t>
      </text>
    </comment>
    <comment authorId="0" ref="A7">
      <text>
        <t xml:space="preserve">======
ID#AAAB5CcYwJo
Vertex42    (2026-04-28 16:28:40)
Work Breakdown Structure
Level 1: 1, 2, 3, ...
Level 2: 1.1, 1.2, 1.3, ...
Level 3: 1.1.1, 1.1.2, 1.1.3, …
 - The WBS uses a formula to control the numbering, but the formulas are different for different levels. Copy and Paste the cells in the WBS column from the examples at the bottom of the worksheet.</t>
      </text>
    </comment>
    <comment authorId="0" ref="B7">
      <text>
        <t xml:space="preserve">======
ID#AAAB5CcYwJs
Vertex42    (2026-04-28 16:28:40)
Task Description
Enter the name of each task and sub-task. Use indents for sub-tasks.</t>
      </text>
    </comment>
  </commentList>
  <extLst>
    <ext uri="GoogleSheetsCustomDataVersion2">
      <go:sheetsCustomData xmlns:go="http://customooxmlschemas.google.com/" r:id="rId1" roundtripDataSignature="AMtx7mhae1d7kdEqmAC0tG+9Anqh6kB04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
ID#AAAB5CcYwJ0
Vertex42    (2026-04-28 16:28:40)
This is an example comment.</t>
      </text>
    </comment>
  </commentList>
  <extLst>
    <ext uri="GoogleSheetsCustomDataVersion2">
      <go:sheetsCustomData xmlns:go="http://customooxmlschemas.google.com/" r:id="rId1" roundtripDataSignature="AMtx7mguidKB2TdksEqOPC9eLiK91dIgeg=="/>
    </ext>
  </extLst>
</comments>
</file>

<file path=xl/sharedStrings.xml><?xml version="1.0" encoding="utf-8"?>
<sst xmlns="http://schemas.openxmlformats.org/spreadsheetml/2006/main" count="180" uniqueCount="156">
  <si>
    <t>PROYECTO SISTEMA GESTION "Black Ink Tattoo"</t>
  </si>
  <si>
    <t xml:space="preserve">Project Start Date </t>
  </si>
  <si>
    <t xml:space="preserve">Display Week </t>
  </si>
  <si>
    <t xml:space="preserve">Project Lead </t>
  </si>
  <si>
    <t>Andrea Larez</t>
  </si>
  <si>
    <t>WBS</t>
  </si>
  <si>
    <t>TASK</t>
  </si>
  <si>
    <t>LEAD</t>
  </si>
  <si>
    <t>PREDECESSOR</t>
  </si>
  <si>
    <t>START</t>
  </si>
  <si>
    <t>END</t>
  </si>
  <si>
    <t>DAYS</t>
  </si>
  <si>
    <t>% DONE</t>
  </si>
  <si>
    <t>WORK DAYS</t>
  </si>
  <si>
    <t>INVESTIGACIÓN Y ESTADO DEL ARTE</t>
  </si>
  <si>
    <t>Definición del Problema y Contexto</t>
  </si>
  <si>
    <t>Andrea</t>
  </si>
  <si>
    <t>Planificación del proyecto</t>
  </si>
  <si>
    <t>Investigación de Mercado y Estado del Arte</t>
  </si>
  <si>
    <t>ANÁLISIS DE REQUERIMIENTOS</t>
  </si>
  <si>
    <t>Levantamiento de Requerimientos (RF/RNF)</t>
  </si>
  <si>
    <t>Alejandro</t>
  </si>
  <si>
    <t>Análisis de procesos actuales</t>
  </si>
  <si>
    <t>Definición de Casos de Uso y Backlog</t>
  </si>
  <si>
    <t>Definición de RF/RNF</t>
  </si>
  <si>
    <t>DISEÑO DE LA SOLUCIÓN</t>
  </si>
  <si>
    <t>Arquitectura del Sistema y Modelo de Datos</t>
  </si>
  <si>
    <t>Diseño de Prototipos UX/UI (Figma)</t>
  </si>
  <si>
    <t>DESARROLLO E IMPLEMENTACIÓN</t>
  </si>
  <si>
    <t>Módulo de Autenticación y Perfil</t>
  </si>
  <si>
    <t>Módulo de Portafolio y Galería</t>
  </si>
  <si>
    <t>Módulo de Citas y Calendario</t>
  </si>
  <si>
    <t>PRUEBAS Y VALIDACIÓN</t>
  </si>
  <si>
    <t>Pruebas Unitarias e Integración</t>
  </si>
  <si>
    <t>Validación con Usuarios Finales (Tatuadores)</t>
  </si>
  <si>
    <t>Pruebas de rendimiento</t>
  </si>
  <si>
    <t>CIERRE Y ENTREGA</t>
  </si>
  <si>
    <t>Informe Final y Conclusiones</t>
  </si>
  <si>
    <t>Preparación de Presentación Final</t>
  </si>
  <si>
    <t>Gantt Chart Template Pro</t>
  </si>
  <si>
    <r>
      <rPr>
        <rFont val="Arial"/>
        <b/>
        <color theme="1"/>
        <sz val="10.0"/>
      </rPr>
      <t>Gantt Chart Template Pro</t>
    </r>
    <r>
      <rPr>
        <rFont val="Arial"/>
        <b val="0"/>
        <color theme="1"/>
        <sz val="10.0"/>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</si>
  <si>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</si>
  <si>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</si>
  <si>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</si>
  <si>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</si>
  <si>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</si>
  <si>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</si>
  <si>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</si>
  <si>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</si>
  <si>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</si>
  <si>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</si>
  <si>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</si>
  <si>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</si>
  <si>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</si>
  <si>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</si>
  <si>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</si>
  <si>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</si>
  <si>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</si>
  <si>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</si>
  <si>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</si>
  <si>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</si>
  <si>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</si>
  <si>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</si>
  <si>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</si>
  <si>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</si>
  <si>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</si>
  <si>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</si>
  <si>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</si>
  <si>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</si>
  <si>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</si>
  <si>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</si>
  <si>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</si>
  <si>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</si>
  <si>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</si>
  <si>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</si>
  <si>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</si>
  <si>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</si>
  <si>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</si>
  <si>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</si>
  <si>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</si>
  <si>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</si>
  <si>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</si>
  <si>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</si>
  <si>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</si>
  <si>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</si>
  <si>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</si>
  <si>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</si>
  <si>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rFont val="Arial"/>
        <color rgb="FFFF0000"/>
        <sz val="11.0"/>
      </rPr>
      <t xml:space="preserve">• </t>
    </r>
    <r>
      <rPr>
        <rFont val="Arial"/>
        <b/>
        <color rgb="FFFF0000"/>
        <sz val="11.0"/>
      </rPr>
      <t>Backup</t>
    </r>
    <r>
      <rPr>
        <rFont val="Arial"/>
        <color rgb="FFFF0000"/>
        <sz val="11.0"/>
      </rPr>
      <t xml:space="preserve"> your file regularly to avoid losing data! Excel files get corrupted occasionally.</t>
    </r>
  </si>
  <si>
    <t>Inserting New Tasks (Rows)</t>
  </si>
  <si>
    <r>
      <rPr>
        <rFont val="Arial"/>
        <color theme="1"/>
        <sz val="11.0"/>
      </rPr>
      <t xml:space="preserve">When inserting and deleting tasks, you need to insert and delete </t>
    </r>
    <r>
      <rPr>
        <rFont val="Arial"/>
        <b/>
        <color theme="1"/>
        <sz val="11.0"/>
      </rPr>
      <t>entire rows</t>
    </r>
    <r>
      <rPr>
        <rFont val="Arial"/>
        <color theme="1"/>
        <sz val="11.0"/>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</si>
  <si>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</si>
  <si>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</si>
  <si>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</si>
  <si>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</si>
  <si>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</si>
  <si>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</si>
  <si>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</si>
  <si>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</si>
  <si>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</si>
  <si>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</si>
  <si>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</si>
  <si>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</si>
  <si>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</si>
  <si>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</si>
  <si>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</si>
  <si>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</si>
  <si>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</si>
  <si>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</si>
  <si>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</si>
  <si>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</si>
  <si>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</si>
  <si>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</si>
  <si>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rFont val="Arial"/>
        <color theme="1"/>
        <sz val="11.0"/>
      </rPr>
      <t>• Use the formula =WORKDAY(</t>
    </r>
    <r>
      <rPr>
        <rFont val="Arial"/>
        <i/>
        <color theme="1"/>
        <sz val="11.0"/>
      </rPr>
      <t>enddate</t>
    </r>
    <r>
      <rPr>
        <rFont val="Arial"/>
        <color theme="1"/>
        <sz val="11.0"/>
      </rPr>
      <t xml:space="preserve">,1) where </t>
    </r>
    <r>
      <rPr>
        <rFont val="Arial"/>
        <i/>
        <color theme="1"/>
        <sz val="11.0"/>
      </rPr>
      <t>enddate</t>
    </r>
    <r>
      <rPr>
        <rFont val="Arial"/>
        <color theme="1"/>
        <sz val="11.0"/>
      </rPr>
      <t xml:space="preserve"> is the reference to the End date of a predecessor task.</t>
    </r>
  </si>
  <si>
    <r>
      <rPr>
        <rFont val="Arial"/>
        <color theme="1"/>
        <sz val="11.0"/>
      </rPr>
      <t>• For multiple predecessors, the formula would be =MAX(WORKDAY(</t>
    </r>
    <r>
      <rPr>
        <rFont val="Arial"/>
        <i/>
        <color theme="1"/>
        <sz val="11.0"/>
      </rPr>
      <t>enddate1</t>
    </r>
    <r>
      <rPr>
        <rFont val="Arial"/>
        <color theme="1"/>
        <sz val="11.0"/>
      </rPr>
      <t>,1),WORKDAY(</t>
    </r>
    <r>
      <rPr>
        <rFont val="Arial"/>
        <i/>
        <color theme="1"/>
        <sz val="11.0"/>
      </rPr>
      <t>enddate2</t>
    </r>
    <r>
      <rPr>
        <rFont val="Arial"/>
        <color theme="1"/>
        <sz val="11.0"/>
      </rPr>
      <t>,1))</t>
    </r>
  </si>
  <si>
    <t>D.</t>
  </si>
  <si>
    <t>Set the Start date to the next Calendar Day after another task's End date.</t>
  </si>
  <si>
    <r>
      <rPr>
        <rFont val="Arial"/>
        <color theme="1"/>
        <sz val="11.0"/>
      </rPr>
      <t>• This formula is very simple: =</t>
    </r>
    <r>
      <rPr>
        <rFont val="Arial"/>
        <i/>
        <color theme="1"/>
        <sz val="11.0"/>
      </rPr>
      <t>enddate</t>
    </r>
    <r>
      <rPr>
        <rFont val="Arial"/>
        <color theme="1"/>
        <sz val="11.0"/>
      </rPr>
      <t>+1</t>
    </r>
  </si>
  <si>
    <r>
      <rPr>
        <rFont val="Arial"/>
        <color theme="1"/>
        <sz val="11.0"/>
      </rPr>
      <t>• For multiple predecessors, the formula would be =MAX(</t>
    </r>
    <r>
      <rPr>
        <rFont val="Arial"/>
        <i/>
        <color theme="1"/>
        <sz val="11.0"/>
      </rPr>
      <t>enddate1</t>
    </r>
    <r>
      <rPr>
        <rFont val="Arial"/>
        <color theme="1"/>
        <sz val="11.0"/>
      </rPr>
      <t>,</t>
    </r>
    <r>
      <rPr>
        <rFont val="Arial"/>
        <i/>
        <color theme="1"/>
        <sz val="11.0"/>
      </rPr>
      <t>enddate2</t>
    </r>
    <r>
      <rPr>
        <rFont val="Arial"/>
        <color theme="1"/>
        <sz val="11.0"/>
      </rPr>
      <t>,</t>
    </r>
    <r>
      <rPr>
        <rFont val="Arial"/>
        <i/>
        <color theme="1"/>
        <sz val="11.0"/>
      </rPr>
      <t>enddate3</t>
    </r>
    <r>
      <rPr>
        <rFont val="Arial"/>
        <color theme="1"/>
        <sz val="11.0"/>
      </rPr>
      <t>)+1</t>
    </r>
  </si>
  <si>
    <t>E.</t>
  </si>
  <si>
    <t>Set the Start date to a number of days before or after another date.</t>
  </si>
  <si>
    <r>
      <rPr>
        <rFont val="Arial"/>
        <color theme="1"/>
        <sz val="11.0"/>
      </rPr>
      <t>• This formula is just like the one in C or D, except that in place of the "1" you enter the number of days, such as =WORKDAY(</t>
    </r>
    <r>
      <rPr>
        <rFont val="Arial"/>
        <i/>
        <color theme="1"/>
        <sz val="11.0"/>
      </rPr>
      <t>enddate</t>
    </r>
    <r>
      <rPr>
        <rFont val="Arial"/>
        <color theme="1"/>
        <sz val="11.0"/>
      </rPr>
      <t>,5) or =WORKDAY(</t>
    </r>
    <r>
      <rPr>
        <rFont val="Arial"/>
        <i/>
        <color theme="1"/>
        <sz val="11.0"/>
      </rPr>
      <t>startdate</t>
    </r>
    <r>
      <rPr>
        <rFont val="Arial"/>
        <color theme="1"/>
        <sz val="11.0"/>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</si>
  <si>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</si>
  <si>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</si>
  <si>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</si>
  <si>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</si>
  <si>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</si>
  <si>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</si>
  <si>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</si>
  <si>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rFont val="Arial"/>
        <color rgb="FF366092"/>
        <sz val="11.0"/>
      </rPr>
      <t xml:space="preserve">How do I enter the </t>
    </r>
    <r>
      <rPr>
        <rFont val="Arial"/>
        <b/>
        <color rgb="FF366092"/>
        <sz val="11.0"/>
      </rPr>
      <t>Work Days</t>
    </r>
    <r>
      <rPr>
        <rFont val="Arial"/>
        <color rgb="FF366092"/>
        <sz val="11.0"/>
      </rPr>
      <t xml:space="preserve"> instead of </t>
    </r>
    <r>
      <rPr>
        <rFont val="Arial"/>
        <b/>
        <color rgb="FF366092"/>
        <sz val="11.0"/>
      </rPr>
      <t>Calendar Days</t>
    </r>
    <r>
      <rPr>
        <rFont val="Arial"/>
        <color rgb="FF366092"/>
        <sz val="11.0"/>
      </rPr>
      <t>?</t>
    </r>
  </si>
  <si>
    <t>Entering work days instead of calendar days is a feature of the Pro version. There is nothing in the free version preventing you from entering your own formulas, though.</t>
  </si>
  <si>
    <r>
      <rPr>
        <rFont val="Arial"/>
        <color rgb="FF366092"/>
        <sz val="11.0"/>
      </rPr>
      <t xml:space="preserve">How do I calculate Calendar Days after entering the </t>
    </r>
    <r>
      <rPr>
        <rFont val="Arial"/>
        <b/>
        <color rgb="FF366092"/>
        <sz val="11.0"/>
      </rPr>
      <t>Start and End Dates</t>
    </r>
    <r>
      <rPr>
        <rFont val="Arial"/>
        <color rgb="FF366092"/>
        <sz val="11.0"/>
      </rPr>
      <t>?</t>
    </r>
  </si>
  <si>
    <r>
      <rPr>
        <rFont val="Arial"/>
        <color theme="1"/>
        <sz val="11.0"/>
      </rPr>
      <t>You can calculate the duration in calendar days (including both start and end dates) using the formula =</t>
    </r>
    <r>
      <rPr>
        <rFont val="Arial"/>
        <i/>
        <color theme="1"/>
        <sz val="11.0"/>
      </rPr>
      <t>enddate</t>
    </r>
    <r>
      <rPr>
        <rFont val="Arial"/>
        <color theme="1"/>
        <sz val="11.0"/>
      </rPr>
      <t>-</t>
    </r>
    <r>
      <rPr>
        <rFont val="Arial"/>
        <i/>
        <color theme="1"/>
        <sz val="11.0"/>
      </rPr>
      <t>startdate</t>
    </r>
    <r>
      <rPr>
        <rFont val="Arial"/>
        <color theme="1"/>
        <sz val="11.0"/>
      </rPr>
      <t>+1</t>
    </r>
  </si>
  <si>
    <r>
      <rPr>
        <rFont val="Arial"/>
        <color rgb="FF366092"/>
        <sz val="11.0"/>
      </rPr>
      <t xml:space="preserve">How do I change the </t>
    </r>
    <r>
      <rPr>
        <rFont val="Arial"/>
        <b/>
        <color rgb="FF366092"/>
        <sz val="11.0"/>
      </rPr>
      <t>Print Settings</t>
    </r>
    <r>
      <rPr>
        <rFont val="Arial"/>
        <color rgb="FF366092"/>
        <sz val="11.0"/>
      </rPr>
      <t>? (Excel 2010, 2013)</t>
    </r>
  </si>
  <si>
    <t>Select the entire range of cells you want to print and go to File &gt; Print Area &gt; Set Print Area. Then go to File &gt; Page Setup or File &gt; Print Preview and adjust the Scaling, Margins, and Page Orientation as desired.</t>
  </si>
  <si>
    <r>
      <rPr>
        <rFont val="Arial"/>
        <color rgb="FF366092"/>
        <sz val="11.0"/>
      </rPr>
      <t xml:space="preserve">How do I increase the </t>
    </r>
    <r>
      <rPr>
        <rFont val="Arial"/>
        <b/>
        <color rgb="FF366092"/>
        <sz val="11.0"/>
      </rPr>
      <t>range of dates</t>
    </r>
    <r>
      <rPr>
        <rFont val="Arial"/>
        <color rgb="FF366092"/>
        <sz val="11.0"/>
      </rPr>
      <t xml:space="preserve"> displayed in the Gantt chart?</t>
    </r>
  </si>
  <si>
    <t>You will need to add columns to the right of the Gantt Chart via copy/paste. Copy and paste the columns in groups of 7. Afterwards, you will also probably need to update the print area.</t>
  </si>
  <si>
    <r>
      <rPr>
        <rFont val="Arial"/>
        <color rgb="FF366092"/>
        <sz val="11.0"/>
      </rPr>
      <t xml:space="preserve">How do I create a summary row that shows the </t>
    </r>
    <r>
      <rPr>
        <rFont val="Arial"/>
        <b/>
        <color rgb="FF366092"/>
        <sz val="11.0"/>
      </rPr>
      <t>MIN</t>
    </r>
    <r>
      <rPr>
        <rFont val="Arial"/>
        <color rgb="FF366092"/>
        <sz val="11.0"/>
      </rPr>
      <t xml:space="preserve"> and </t>
    </r>
    <r>
      <rPr>
        <rFont val="Arial"/>
        <b/>
        <color rgb="FF366092"/>
        <sz val="11.0"/>
      </rPr>
      <t>MAX</t>
    </r>
    <r>
      <rPr>
        <rFont val="Arial"/>
        <color rgb="FF366092"/>
        <sz val="11.0"/>
      </rPr>
      <t xml:space="preserve"> dates for all sub-tasks?</t>
    </r>
  </si>
  <si>
    <r>
      <rPr>
        <rFont val="Arial"/>
        <color rgb="FF000000"/>
        <sz val="11.0"/>
      </rPr>
      <t>In the Start column, use the formula =MIN(</t>
    </r>
    <r>
      <rPr>
        <rFont val="Arial"/>
        <i/>
        <color rgb="FF000000"/>
        <sz val="11.0"/>
      </rPr>
      <t>range_of_start_dates</t>
    </r>
    <r>
      <rPr>
        <rFont val="Arial"/>
        <color rgb="FF000000"/>
        <sz val="11.0"/>
      </rPr>
      <t>)</t>
    </r>
  </si>
  <si>
    <r>
      <rPr>
        <rFont val="Arial"/>
        <color rgb="FF000000"/>
        <sz val="11.0"/>
      </rPr>
      <t>In the End column, use the formula =MAX(</t>
    </r>
    <r>
      <rPr>
        <rFont val="Arial"/>
        <i/>
        <color rgb="FF000000"/>
        <sz val="11.0"/>
      </rPr>
      <t>range_of_end_dates</t>
    </r>
    <r>
      <rPr>
        <rFont val="Arial"/>
        <color rgb="FF000000"/>
        <sz val="11.0"/>
      </rPr>
      <t>)</t>
    </r>
  </si>
  <si>
    <r>
      <rPr>
        <rFont val="Arial"/>
        <color rgb="FF000000"/>
        <sz val="11.0"/>
      </rPr>
      <t>In the Days column, use the formula =</t>
    </r>
    <r>
      <rPr>
        <rFont val="Arial"/>
        <i/>
        <color rgb="FF000000"/>
        <sz val="11.0"/>
      </rPr>
      <t>end_date</t>
    </r>
    <r>
      <rPr>
        <rFont val="Arial"/>
        <color rgb="FF000000"/>
        <sz val="11.0"/>
      </rPr>
      <t>-</t>
    </r>
    <r>
      <rPr>
        <rFont val="Arial"/>
        <i/>
        <color rgb="FF000000"/>
        <sz val="11.0"/>
      </rPr>
      <t>start_date</t>
    </r>
    <r>
      <rPr>
        <rFont val="Arial"/>
        <color rgb="FF000000"/>
        <sz val="11.0"/>
      </rPr>
      <t>+1</t>
    </r>
  </si>
  <si>
    <r>
      <rPr>
        <rFont val="Arial"/>
        <color rgb="FF366092"/>
        <sz val="11.0"/>
      </rPr>
      <t xml:space="preserve">How do I calculate the </t>
    </r>
    <r>
      <rPr>
        <rFont val="Arial"/>
        <b/>
        <color rgb="FF366092"/>
        <sz val="11.0"/>
      </rPr>
      <t>%Complete</t>
    </r>
    <r>
      <rPr>
        <rFont val="Arial"/>
        <color rgb="FF366092"/>
        <sz val="11.0"/>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</si>
  <si>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</si>
  <si>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rFont val="Arial"/>
        <color theme="1"/>
        <sz val="11.0"/>
      </rPr>
      <t>=SUMPRODUCT(</t>
    </r>
    <r>
      <rPr>
        <rFont val="Arial"/>
        <i/>
        <color theme="1"/>
        <sz val="11.0"/>
      </rPr>
      <t>workdays</t>
    </r>
    <r>
      <rPr>
        <rFont val="Arial"/>
        <color theme="1"/>
        <sz val="11.0"/>
      </rPr>
      <t>,</t>
    </r>
    <r>
      <rPr>
        <rFont val="Arial"/>
        <i/>
        <color theme="1"/>
        <sz val="11.0"/>
      </rPr>
      <t>complete</t>
    </r>
    <r>
      <rPr>
        <rFont val="Arial"/>
        <color theme="1"/>
        <sz val="11.0"/>
      </rPr>
      <t>)/SUM(</t>
    </r>
    <r>
      <rPr>
        <rFont val="Arial"/>
        <i/>
        <color theme="1"/>
        <sz val="11.0"/>
      </rPr>
      <t>workdays</t>
    </r>
    <r>
      <rPr>
        <rFont val="Arial"/>
        <color theme="1"/>
        <sz val="11.0"/>
      </rPr>
      <t>)</t>
    </r>
  </si>
  <si>
    <t>Example: Let's say you have 3 sub tasks that are 10 days, 12 days, and 14 days long, respectively. If the first subtask is 50% complete and the others are 25% complete, you could calculate the overall percent complete for the group as: =(10*50%+12*25%+14*25%)/(10+12+14).</t>
  </si>
  <si>
    <r>
      <rPr>
        <rFont val="Arial"/>
        <color rgb="FF366092"/>
        <sz val="11.0"/>
      </rPr>
      <t xml:space="preserve">I've </t>
    </r>
    <r>
      <rPr>
        <rFont val="Arial"/>
        <b/>
        <color rgb="FF366092"/>
        <sz val="11.0"/>
      </rPr>
      <t>messed up</t>
    </r>
    <r>
      <rPr>
        <rFont val="Arial"/>
        <color rgb="FF366092"/>
        <sz val="11.0"/>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</si>
  <si>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</si>
  <si>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</si>
  <si>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</si>
  <si>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</si>
  <si>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</si>
  <si>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rPr>
        <rFont val="Arial"/>
        <color theme="1"/>
        <sz val="12.0"/>
      </rPr>
      <t xml:space="preserve">You may download the spreadsheet template, make archival copies, and customize the template only for your </t>
    </r>
    <r>
      <rPr>
        <rFont val="Arial"/>
        <b/>
        <color theme="1"/>
        <sz val="12.0"/>
      </rPr>
      <t>personal use or use within your company or organization</t>
    </r>
    <r>
      <rPr>
        <rFont val="Arial"/>
        <color theme="1"/>
        <sz val="12.0"/>
      </rPr>
      <t xml:space="preserve"> and </t>
    </r>
    <r>
      <rPr>
        <rFont val="Arial"/>
        <b/>
        <color theme="1"/>
        <sz val="12.0"/>
      </rPr>
      <t>not</t>
    </r>
    <r>
      <rPr>
        <rFont val="Arial"/>
        <color theme="1"/>
        <sz val="12.0"/>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</si>
  <si>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</si>
  <si>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</si>
  <si>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rFont val="Arial"/>
        <b/>
        <color theme="1"/>
        <sz val="12.0"/>
      </rPr>
      <t>Limited Private Sharing and Other Allowed Uses</t>
    </r>
    <r>
      <rPr>
        <rFont val="Arial"/>
        <color theme="1"/>
        <sz val="12.0"/>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</si>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</sst>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dddd\)"/>
    <numFmt numFmtId="165" formatCode="d\ mmm\ yyyy"/>
    <numFmt numFmtId="166" formatCode="d"/>
    <numFmt numFmtId="167" formatCode="ddd\ m/dd/yy"/>
    <numFmt numFmtId="168" formatCode="d.m"/>
  </numFmts>
  <fonts count="36">
    <font>
      <sz val="10.0"/>
      <color rgb="FF000000"/>
      <name val="Arial"/>
      <scheme val="minor"/>
    </font>
    <font>
      <sz val="16.0"/>
      <color rgb="FF366092"/>
      <name val="Arial"/>
    </font>
    <font>
      <sz val="14.0"/>
      <color rgb="FF003366"/>
      <name val="Arial"/>
    </font>
    <font>
      <sz val="10.0"/>
      <color theme="1"/>
      <name val="Arial"/>
    </font>
    <font>
      <i/>
      <sz val="8.0"/>
      <color rgb="FF595959"/>
      <name val="Arial"/>
    </font>
    <font>
      <sz val="11.0"/>
      <color theme="1"/>
      <name val="Arial"/>
    </font>
    <font>
      <sz val="9.0"/>
      <color theme="1"/>
      <name val="Arial"/>
    </font>
    <font>
      <u/>
      <sz val="8.0"/>
      <color rgb="FF0000FF"/>
      <name val="Arial"/>
    </font>
    <font>
      <sz val="7.0"/>
      <color rgb="FFC0C0C0"/>
      <name val="Arial"/>
    </font>
    <font>
      <u/>
      <sz val="10.0"/>
      <color rgb="FF0000FF"/>
      <name val="Arial"/>
    </font>
    <font/>
    <font>
      <sz val="8.0"/>
      <color theme="1"/>
      <name val="Arial"/>
    </font>
    <font>
      <b/>
      <sz val="9.0"/>
      <color theme="1"/>
      <name val="Arial"/>
    </font>
    <font>
      <b/>
      <sz val="8.0"/>
      <color theme="1"/>
      <name val="Arial"/>
    </font>
    <font>
      <b/>
      <sz val="11.0"/>
      <color theme="1"/>
      <name val="Arial"/>
    </font>
    <font>
      <sz val="14.0"/>
      <color theme="1"/>
      <name val="Arial"/>
    </font>
    <font>
      <sz val="9.0"/>
      <color rgb="FF000000"/>
      <name val="Arial"/>
    </font>
    <font>
      <sz val="14.0"/>
      <color rgb="FF000000"/>
      <name val="Arial"/>
    </font>
    <font>
      <sz val="18.0"/>
      <color rgb="FF366092"/>
      <name val="Arial"/>
    </font>
    <font>
      <color theme="1"/>
      <name val="Arial"/>
      <scheme val="minor"/>
    </font>
    <font>
      <b/>
      <sz val="10.0"/>
      <color theme="1"/>
      <name val="Arial"/>
    </font>
    <font>
      <u/>
      <sz val="14.0"/>
      <color rgb="FF0000FF"/>
      <name val="Arial"/>
    </font>
    <font>
      <i/>
      <sz val="8.0"/>
      <color theme="1"/>
      <name val="Arial"/>
    </font>
    <font>
      <b/>
      <sz val="12.0"/>
      <color rgb="FF366092"/>
      <name val="Arial"/>
    </font>
    <font>
      <sz val="18.0"/>
      <color rgb="FF3B8741"/>
      <name val="Arial"/>
    </font>
    <font>
      <u/>
      <sz val="11.0"/>
      <color rgb="FF0000FF"/>
      <name val="Arial"/>
    </font>
    <font>
      <sz val="14.0"/>
      <color rgb="FF366092"/>
      <name val="Arial"/>
    </font>
    <font>
      <sz val="11.0"/>
      <color rgb="FFFF0000"/>
      <name val="Arial"/>
    </font>
    <font>
      <b/>
      <sz val="11.0"/>
      <color rgb="FF366092"/>
      <name val="Arial"/>
    </font>
    <font>
      <u/>
      <sz val="11.0"/>
      <color rgb="FF0000FF"/>
      <name val="Arial"/>
    </font>
    <font>
      <sz val="11.0"/>
      <color rgb="FF000000"/>
      <name val="Arial"/>
    </font>
    <font>
      <sz val="11.0"/>
      <color rgb="FF366092"/>
      <name val="Arial"/>
    </font>
    <font>
      <sz val="12.0"/>
      <color theme="1"/>
      <name val="Arial"/>
    </font>
    <font>
      <u/>
      <sz val="11.0"/>
      <color rgb="FF0000FF"/>
      <name val="Arial"/>
    </font>
    <font>
      <b/>
      <sz val="12.0"/>
      <color theme="1"/>
      <name val="Arial"/>
    </font>
    <font>
      <u/>
      <sz val="12.0"/>
      <color rgb="FF0000FF"/>
      <name val="Arial"/>
    </font>
  </fonts>
  <fills count="6">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
      <patternFill patternType="solid">
        <fgColor rgb="FFEAEAEA"/>
        <bgColor rgb="FFEAEAEA"/>
      </patternFill>
    </fill>
  </fills>
  <borders count="20">
    <border/>
    <border>
      <left/>
      <right/>
      <top/>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right/>
      <top/>
      <bottom style="thin">
        <color rgb="FFEAEAEA"/>
      </bottom>
    </border>
    <border>
      <left/>
      <right/>
      <top style="thin">
        <color rgb="FFEAEAEA"/>
      </top>
      <bottom style="thin">
        <color rgb="FFEAEAEA"/>
      </bottom>
    </border>
    <border>
      <top style="thin">
        <color rgb="FFEAEAEA"/>
      </top>
      <bottom style="thin">
        <color rgb="FFEAEAEA"/>
      </bottom>
    </border>
    <border>
      <top style="thin">
        <color rgb="FFEFEFEF"/>
      </top>
      <bottom style="thin">
        <color rgb="FFEFEFEF"/>
      </bottom>
    </border>
    <border>
      <left/>
      <right/>
      <top style="thin">
        <color rgb="FFEFEFEF"/>
      </top>
      <bottom style="thin">
        <color rgb="FFEFEFEF"/>
      </bottom>
    </border>
    <border>
      <left style="thin">
        <color theme="0"/>
      </left>
      <right style="thin">
        <color theme="0"/>
      </right>
      <bottom style="thin">
        <color theme="0"/>
      </bottom>
    </border>
    <border>
      <left style="thin">
        <color theme="0"/>
      </left>
      <right style="thin">
        <color theme="0"/>
      </right>
      <top style="thin">
        <color theme="0"/>
      </top>
      <bottom style="thin">
        <color theme="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right"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Font="1"/>
    <xf borderId="1" fillId="2" fontId="7" numFmtId="0" xfId="0" applyAlignment="1" applyBorder="1" applyFill="1" applyFont="1">
      <alignment horizontal="right"/>
    </xf>
    <xf borderId="0" fillId="0" fontId="8" numFmtId="0" xfId="0" applyFont="1"/>
    <xf borderId="1" fillId="2" fontId="3" numFmtId="0" xfId="0" applyBorder="1" applyFont="1"/>
    <xf borderId="0" fillId="0" fontId="3" numFmtId="0" xfId="0" applyFont="1"/>
    <xf borderId="0" fillId="0" fontId="9" numFmtId="0" xfId="0" applyAlignment="1" applyFont="1">
      <alignment horizontal="left"/>
    </xf>
    <xf borderId="2" fillId="0" fontId="3" numFmtId="164" xfId="0" applyAlignment="1" applyBorder="1" applyFont="1" applyNumberFormat="1">
      <alignment horizontal="center" readingOrder="0" shrinkToFit="1" vertical="center" wrapText="0"/>
    </xf>
    <xf borderId="2" fillId="0" fontId="10" numFmtId="0" xfId="0" applyBorder="1" applyFont="1"/>
    <xf borderId="2" fillId="0" fontId="3" numFmtId="0" xfId="0" applyAlignment="1" applyBorder="1" applyFont="1">
      <alignment horizontal="center" vertical="center"/>
    </xf>
    <xf borderId="3" fillId="0" fontId="5" numFmtId="0" xfId="0" applyAlignment="1" applyBorder="1" applyFont="1">
      <alignment horizontal="center" vertical="center"/>
    </xf>
    <xf borderId="4" fillId="0" fontId="10" numFmtId="0" xfId="0" applyBorder="1" applyFont="1"/>
    <xf borderId="5" fillId="0" fontId="3" numFmtId="164" xfId="0" applyAlignment="1" applyBorder="1" applyFont="1" applyNumberFormat="1">
      <alignment horizontal="center" shrinkToFit="1" vertical="center" wrapText="0"/>
    </xf>
    <xf borderId="5" fillId="0" fontId="10" numFmtId="0" xfId="0" applyBorder="1" applyFont="1"/>
    <xf borderId="3" fillId="0" fontId="3" numFmtId="165" xfId="0" applyAlignment="1" applyBorder="1" applyFont="1" applyNumberFormat="1">
      <alignment horizontal="center" vertical="center"/>
    </xf>
    <xf borderId="6" fillId="0" fontId="11" numFmtId="166" xfId="0" applyAlignment="1" applyBorder="1" applyFont="1" applyNumberFormat="1">
      <alignment horizontal="center" shrinkToFit="1" vertical="center" wrapText="0"/>
    </xf>
    <xf borderId="7" fillId="0" fontId="11" numFmtId="166" xfId="0" applyAlignment="1" applyBorder="1" applyFont="1" applyNumberFormat="1">
      <alignment horizontal="center" shrinkToFit="1" vertical="center" wrapText="0"/>
    </xf>
    <xf borderId="8" fillId="0" fontId="11" numFmtId="166" xfId="0" applyAlignment="1" applyBorder="1" applyFont="1" applyNumberFormat="1">
      <alignment horizontal="center" shrinkToFit="1" vertical="center" wrapText="0"/>
    </xf>
    <xf borderId="9" fillId="0" fontId="12" numFmtId="0" xfId="0" applyAlignment="1" applyBorder="1" applyFont="1">
      <alignment horizontal="left" vertical="center"/>
    </xf>
    <xf borderId="9" fillId="0" fontId="12" numFmtId="0" xfId="0" applyAlignment="1" applyBorder="1" applyFont="1">
      <alignment horizontal="center" shrinkToFit="0" vertical="center" wrapText="1"/>
    </xf>
    <xf borderId="9" fillId="0" fontId="13" numFmtId="0" xfId="0" applyAlignment="1" applyBorder="1" applyFont="1">
      <alignment horizontal="center" shrinkToFit="0" vertical="center" wrapText="1"/>
    </xf>
    <xf borderId="9" fillId="0" fontId="12" numFmtId="0" xfId="0" applyAlignment="1" applyBorder="1" applyFont="1">
      <alignment horizontal="center" vertical="center"/>
    </xf>
    <xf borderId="10" fillId="0" fontId="6" numFmtId="0" xfId="0" applyAlignment="1" applyBorder="1" applyFont="1">
      <alignment horizontal="center" shrinkToFit="1" vertical="center" wrapText="0"/>
    </xf>
    <xf borderId="11" fillId="0" fontId="6" numFmtId="0" xfId="0" applyAlignment="1" applyBorder="1" applyFont="1">
      <alignment horizontal="center" shrinkToFit="1" vertical="center" wrapText="0"/>
    </xf>
    <xf borderId="12" fillId="0" fontId="6" numFmtId="0" xfId="0" applyAlignment="1" applyBorder="1" applyFont="1">
      <alignment horizontal="center" shrinkToFit="1" vertical="center" wrapText="0"/>
    </xf>
    <xf borderId="13" fillId="3" fontId="14" numFmtId="0" xfId="0" applyAlignment="1" applyBorder="1" applyFill="1" applyFont="1">
      <alignment horizontal="left" readingOrder="0" vertical="center"/>
    </xf>
    <xf borderId="13" fillId="3" fontId="13" numFmtId="0" xfId="0" applyAlignment="1" applyBorder="1" applyFont="1">
      <alignment readingOrder="0" vertical="center"/>
    </xf>
    <xf borderId="13" fillId="3" fontId="6" numFmtId="0" xfId="0" applyAlignment="1" applyBorder="1" applyFont="1">
      <alignment vertical="center"/>
    </xf>
    <xf borderId="13" fillId="3" fontId="6" numFmtId="0" xfId="0" applyAlignment="1" applyBorder="1" applyFont="1">
      <alignment horizontal="center" vertical="center"/>
    </xf>
    <xf borderId="13" fillId="3" fontId="6" numFmtId="167" xfId="0" applyAlignment="1" applyBorder="1" applyFont="1" applyNumberFormat="1">
      <alignment horizontal="right" vertical="center"/>
    </xf>
    <xf borderId="13" fillId="3" fontId="6" numFmtId="167" xfId="0" applyAlignment="1" applyBorder="1" applyFont="1" applyNumberFormat="1">
      <alignment horizontal="center" vertical="center"/>
    </xf>
    <xf borderId="13" fillId="3" fontId="6" numFmtId="1" xfId="0" applyAlignment="1" applyBorder="1" applyFont="1" applyNumberFormat="1">
      <alignment horizontal="center" vertical="center"/>
    </xf>
    <xf borderId="13" fillId="3" fontId="6" numFmtId="9" xfId="0" applyAlignment="1" applyBorder="1" applyFont="1" applyNumberFormat="1">
      <alignment horizontal="center" vertical="center"/>
    </xf>
    <xf borderId="13" fillId="3" fontId="15" numFmtId="1" xfId="0" applyAlignment="1" applyBorder="1" applyFont="1" applyNumberFormat="1">
      <alignment horizontal="center" vertical="center"/>
    </xf>
    <xf borderId="13" fillId="3" fontId="6" numFmtId="0" xfId="0" applyAlignment="1" applyBorder="1" applyFont="1">
      <alignment horizontal="left" vertical="center"/>
    </xf>
    <xf borderId="14" fillId="3" fontId="6" numFmtId="0" xfId="0" applyAlignment="1" applyBorder="1" applyFont="1">
      <alignment vertical="center"/>
    </xf>
    <xf borderId="15" fillId="0" fontId="6" numFmtId="168" xfId="0" applyAlignment="1" applyBorder="1" applyFont="1" applyNumberFormat="1">
      <alignment horizontal="left" readingOrder="0" vertical="center"/>
    </xf>
    <xf borderId="15" fillId="0" fontId="6" numFmtId="0" xfId="0" applyAlignment="1" applyBorder="1" applyFont="1">
      <alignment readingOrder="0" shrinkToFit="0" vertical="center" wrapText="1"/>
    </xf>
    <xf borderId="15" fillId="0" fontId="6" numFmtId="0" xfId="0" applyAlignment="1" applyBorder="1" applyFont="1">
      <alignment vertical="center"/>
    </xf>
    <xf borderId="16" fillId="0" fontId="16" numFmtId="0" xfId="0" applyAlignment="1" applyBorder="1" applyFont="1">
      <alignment horizontal="center" vertical="center"/>
    </xf>
    <xf borderId="17" fillId="4" fontId="16" numFmtId="167" xfId="0" applyAlignment="1" applyBorder="1" applyFill="1" applyFont="1" applyNumberFormat="1">
      <alignment horizontal="center" readingOrder="0" vertical="center"/>
    </xf>
    <xf borderId="16" fillId="0" fontId="16" numFmtId="167" xfId="0" applyAlignment="1" applyBorder="1" applyFont="1" applyNumberFormat="1">
      <alignment horizontal="center" vertical="center"/>
    </xf>
    <xf borderId="17" fillId="4" fontId="16" numFmtId="1" xfId="0" applyAlignment="1" applyBorder="1" applyFont="1" applyNumberFormat="1">
      <alignment horizontal="center" readingOrder="0" vertical="center"/>
    </xf>
    <xf borderId="17" fillId="4" fontId="16" numFmtId="9" xfId="0" applyAlignment="1" applyBorder="1" applyFont="1" applyNumberFormat="1">
      <alignment horizontal="center" vertical="center"/>
    </xf>
    <xf borderId="16" fillId="0" fontId="16" numFmtId="1" xfId="0" applyAlignment="1" applyBorder="1" applyFont="1" applyNumberFormat="1">
      <alignment horizontal="center" vertical="center"/>
    </xf>
    <xf borderId="16" fillId="0" fontId="17" numFmtId="1" xfId="0" applyAlignment="1" applyBorder="1" applyFont="1" applyNumberFormat="1">
      <alignment horizontal="center" vertical="center"/>
    </xf>
    <xf borderId="15" fillId="0" fontId="6" numFmtId="0" xfId="0" applyAlignment="1" applyBorder="1" applyFont="1">
      <alignment horizontal="left" vertical="center"/>
    </xf>
    <xf borderId="15" fillId="0" fontId="6" numFmtId="0" xfId="0" applyAlignment="1" applyBorder="1" applyFont="1">
      <alignment shrinkToFit="0" vertical="center" wrapText="1"/>
    </xf>
    <xf borderId="17" fillId="4" fontId="16" numFmtId="9" xfId="0" applyAlignment="1" applyBorder="1" applyFont="1" applyNumberFormat="1">
      <alignment horizontal="center" readingOrder="0" vertical="center"/>
    </xf>
    <xf borderId="15" fillId="0" fontId="6" numFmtId="9" xfId="0" applyAlignment="1" applyBorder="1" applyFont="1" applyNumberFormat="1">
      <alignment horizontal="left" vertical="center"/>
    </xf>
    <xf borderId="14" fillId="3" fontId="14" numFmtId="0" xfId="0" applyAlignment="1" applyBorder="1" applyFont="1">
      <alignment horizontal="left" readingOrder="0" vertical="center"/>
    </xf>
    <xf borderId="14" fillId="3" fontId="13" numFmtId="0" xfId="0" applyAlignment="1" applyBorder="1" applyFont="1">
      <alignment readingOrder="0" vertical="center"/>
    </xf>
    <xf borderId="14" fillId="3" fontId="6" numFmtId="0" xfId="0" applyAlignment="1" applyBorder="1" applyFont="1">
      <alignment horizontal="center" vertical="center"/>
    </xf>
    <xf borderId="14" fillId="3" fontId="6" numFmtId="167" xfId="0" applyAlignment="1" applyBorder="1" applyFont="1" applyNumberFormat="1">
      <alignment horizontal="center" vertical="center"/>
    </xf>
    <xf borderId="14" fillId="3" fontId="6" numFmtId="1" xfId="0" applyAlignment="1" applyBorder="1" applyFont="1" applyNumberFormat="1">
      <alignment horizontal="center" vertical="center"/>
    </xf>
    <xf borderId="14" fillId="3" fontId="6" numFmtId="9" xfId="0" applyAlignment="1" applyBorder="1" applyFont="1" applyNumberFormat="1">
      <alignment horizontal="center" vertical="center"/>
    </xf>
    <xf borderId="14" fillId="3" fontId="15" numFmtId="1" xfId="0" applyAlignment="1" applyBorder="1" applyFont="1" applyNumberFormat="1">
      <alignment horizontal="center" vertical="center"/>
    </xf>
    <xf borderId="14" fillId="3" fontId="6" numFmtId="0" xfId="0" applyAlignment="1" applyBorder="1" applyFont="1">
      <alignment horizontal="left" vertical="center"/>
    </xf>
    <xf borderId="15" fillId="0" fontId="6" numFmtId="0" xfId="0" applyAlignment="1" applyBorder="1" applyFont="1">
      <alignment readingOrder="0" vertical="center"/>
    </xf>
    <xf borderId="17" fillId="4" fontId="16" numFmtId="1" xfId="0" applyAlignment="1" applyBorder="1" applyFont="1" applyNumberFormat="1">
      <alignment horizontal="center" vertical="center"/>
    </xf>
    <xf borderId="0" fillId="0" fontId="17" numFmtId="1" xfId="0" applyAlignment="1" applyFont="1" applyNumberFormat="1">
      <alignment horizontal="center" vertical="center"/>
    </xf>
    <xf borderId="0" fillId="0" fontId="6" numFmtId="0" xfId="0" applyAlignment="1" applyFont="1">
      <alignment vertical="center"/>
    </xf>
    <xf borderId="15" fillId="0" fontId="15" numFmtId="1" xfId="0" applyAlignment="1" applyBorder="1" applyFont="1" applyNumberFormat="1">
      <alignment horizontal="center" vertical="center"/>
    </xf>
    <xf borderId="0" fillId="0" fontId="6" numFmtId="0" xfId="0" applyAlignment="1" applyFont="1">
      <alignment readingOrder="0"/>
    </xf>
    <xf borderId="0" fillId="0" fontId="18" numFmtId="0" xfId="0" applyAlignment="1" applyFont="1">
      <alignment vertical="center"/>
    </xf>
    <xf borderId="0" fillId="0" fontId="19" numFmtId="0" xfId="0" applyFont="1"/>
    <xf borderId="0" fillId="0" fontId="20" numFmtId="0" xfId="0" applyFont="1"/>
    <xf borderId="0" fillId="0" fontId="21" numFmtId="0" xfId="0" applyFont="1"/>
    <xf borderId="0" fillId="0" fontId="22" numFmtId="0" xfId="0" applyFont="1"/>
    <xf borderId="0" fillId="0" fontId="23" numFmtId="0" xfId="0" applyFont="1"/>
    <xf borderId="0" fillId="0" fontId="14" numFmtId="0" xfId="0" applyFont="1"/>
    <xf borderId="0" fillId="0" fontId="18" numFmtId="0" xfId="0" applyAlignment="1" applyFont="1">
      <alignment horizontal="left" vertical="center"/>
    </xf>
    <xf borderId="0" fillId="0" fontId="24" numFmtId="0" xfId="0" applyAlignment="1" applyFont="1">
      <alignment horizontal="left" vertical="center"/>
    </xf>
    <xf borderId="0" fillId="0" fontId="25" numFmtId="0" xfId="0" applyFont="1"/>
    <xf borderId="0" fillId="0" fontId="11" numFmtId="0" xfId="0" applyAlignment="1" applyFont="1">
      <alignment horizontal="right"/>
    </xf>
    <xf borderId="0" fillId="0" fontId="26" numFmtId="0" xfId="0" applyFont="1"/>
    <xf borderId="0" fillId="0" fontId="5" numFmtId="0" xfId="0" applyAlignment="1" applyFont="1">
      <alignment horizontal="left" shrinkToFit="0" wrapText="1"/>
    </xf>
    <xf borderId="0" fillId="0" fontId="5" numFmtId="0" xfId="0" applyAlignment="1" applyFont="1">
      <alignment shrinkToFit="0" wrapText="1"/>
    </xf>
    <xf borderId="0" fillId="0" fontId="26" numFmtId="0" xfId="0" applyAlignment="1" applyFont="1">
      <alignment horizontal="left"/>
    </xf>
    <xf borderId="0" fillId="0" fontId="15" numFmtId="0" xfId="0" applyAlignment="1" applyFont="1">
      <alignment vertical="center"/>
    </xf>
    <xf borderId="0" fillId="0" fontId="5" numFmtId="0" xfId="0" applyAlignment="1" applyFont="1">
      <alignment shrinkToFit="0" vertical="center" wrapText="1"/>
    </xf>
    <xf borderId="0" fillId="0" fontId="3" numFmtId="0" xfId="0" applyAlignment="1" applyFont="1">
      <alignment vertical="center"/>
    </xf>
    <xf borderId="1" fillId="5" fontId="3" numFmtId="0" xfId="0" applyAlignment="1" applyBorder="1" applyFill="1" applyFont="1">
      <alignment horizontal="center" vertical="center"/>
    </xf>
    <xf borderId="0" fillId="0" fontId="15" numFmtId="0" xfId="0" applyFont="1"/>
    <xf borderId="1" fillId="4" fontId="3" numFmtId="0" xfId="0" applyAlignment="1" applyBorder="1" applyFont="1">
      <alignment horizontal="center" vertical="center"/>
    </xf>
    <xf borderId="0" fillId="0" fontId="27" numFmtId="0" xfId="0" applyAlignment="1" applyFont="1">
      <alignment shrinkToFit="0" vertical="center" wrapText="1"/>
    </xf>
    <xf borderId="0" fillId="0" fontId="28" numFmtId="0" xfId="0" applyFont="1"/>
    <xf borderId="0" fillId="0" fontId="29" numFmtId="0" xfId="0" applyAlignment="1" applyFont="1">
      <alignment vertical="center"/>
    </xf>
    <xf borderId="0" fillId="0" fontId="11" numFmtId="0" xfId="0" applyAlignment="1" applyFont="1">
      <alignment shrinkToFit="0" wrapText="1"/>
    </xf>
    <xf borderId="0" fillId="0" fontId="30" numFmtId="0" xfId="0" applyAlignment="1" applyFont="1">
      <alignment horizontal="right"/>
    </xf>
    <xf borderId="0" fillId="0" fontId="5" numFmtId="0" xfId="0" applyFont="1"/>
    <xf borderId="0" fillId="0" fontId="3" numFmtId="0" xfId="0" applyAlignment="1" applyFont="1">
      <alignment horizontal="left" shrinkToFit="0" wrapText="1"/>
    </xf>
    <xf borderId="0" fillId="0" fontId="28" numFmtId="0" xfId="0" applyAlignment="1" applyFont="1">
      <alignment horizontal="right"/>
    </xf>
    <xf borderId="0" fillId="0" fontId="31"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xf>
    <xf borderId="0" fillId="0" fontId="31" numFmtId="0" xfId="0" applyFont="1"/>
    <xf borderId="0" fillId="0" fontId="30" numFmtId="0" xfId="0" applyAlignment="1" applyFont="1">
      <alignment horizontal="left" shrinkToFit="0" wrapText="1"/>
    </xf>
    <xf borderId="0" fillId="0" fontId="14" numFmtId="0" xfId="0" applyAlignment="1" applyFont="1">
      <alignment horizontal="left"/>
    </xf>
    <xf quotePrefix="1" borderId="0" fillId="0" fontId="5" numFmtId="0" xfId="0" applyAlignment="1" applyFont="1">
      <alignment shrinkToFit="0" wrapText="1"/>
    </xf>
    <xf borderId="0" fillId="0" fontId="11" numFmtId="0" xfId="0" applyAlignment="1" applyFont="1">
      <alignment horizontal="left" vertical="center"/>
    </xf>
    <xf borderId="0" fillId="0" fontId="32" numFmtId="0" xfId="0" applyAlignment="1" applyFont="1">
      <alignment horizontal="left" shrinkToFit="0" wrapText="1"/>
    </xf>
    <xf borderId="18" fillId="0" fontId="3" numFmtId="0" xfId="0" applyBorder="1" applyFont="1"/>
    <xf borderId="18" fillId="0" fontId="32" numFmtId="0" xfId="0" applyAlignment="1" applyBorder="1" applyFont="1">
      <alignment horizontal="left" shrinkToFit="0" wrapText="1"/>
    </xf>
    <xf borderId="19" fillId="0" fontId="3" numFmtId="0" xfId="0" applyBorder="1" applyFont="1"/>
    <xf borderId="18" fillId="0" fontId="33" numFmtId="0" xfId="0" applyAlignment="1" applyBorder="1" applyFont="1">
      <alignment shrinkToFit="0" wrapText="1"/>
    </xf>
    <xf borderId="19" fillId="0" fontId="32" numFmtId="0" xfId="0" applyAlignment="1" applyBorder="1" applyFont="1">
      <alignment horizontal="left" shrinkToFit="0" wrapText="1"/>
    </xf>
    <xf borderId="19" fillId="0" fontId="34" numFmtId="0" xfId="0" applyAlignment="1" applyBorder="1" applyFont="1">
      <alignment horizontal="left" shrinkToFit="0" wrapText="1"/>
    </xf>
    <xf borderId="19" fillId="0" fontId="35" numFmtId="0" xfId="0" applyAlignment="1" applyBorder="1" applyFont="1">
      <alignment horizontal="left" shrinkToFit="0" wrapText="1"/>
    </xf>
    <xf borderId="19" fillId="0" fontId="32" numFmtId="0" xfId="0" applyAlignment="1" applyBorder="1" applyFont="1">
      <alignment horizontal="left"/>
    </xf>
  </cellXfs>
  <cellStyles count="1">
    <cellStyle xfId="0" name="Normal" builtinId="0"/>
  </cellStyles>
  <dxfs count="4">
    <dxf>
      <font/>
      <fill>
        <patternFill patternType="none"/>
      </fill>
      <border>
        <left style="thin">
          <color rgb="FFC00000"/>
        </left>
        <right style="thin">
          <color rgb="FFC00000"/>
        </right>
      </border>
    </dxf>
    <dxf>
      <font/>
      <fill>
        <patternFill patternType="solid">
          <fgColor rgb="FF7F7F7F"/>
          <bgColor rgb="FF7F7F7F"/>
        </patternFill>
      </fill>
      <border/>
    </dxf>
    <dxf>
      <font/>
      <fill>
        <patternFill patternType="solid">
          <fgColor rgb="FF0070C0"/>
          <bgColor rgb="FF0070C0"/>
        </patternFill>
      </fill>
      <border/>
    </dxf>
    <dxf>
      <font>
        <color theme="0"/>
      </font>
      <fill>
        <patternFill patternType="solid">
          <fgColor theme="5"/>
          <bgColor theme="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2</xdr:row>
      <xdr:rowOff>123825</xdr:rowOff>
    </xdr:from>
    <xdr:ext cx="2009775" cy="1590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0</xdr:row>
      <xdr:rowOff>0</xdr:rowOff>
    </xdr:from>
    <xdr:ext cx="1685925" cy="3810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685925"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3"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vertex42.com/ExcelTemplates/excel-gantt-chart.html" TargetMode="External"/><Relationship Id="rId3" Type="http://schemas.openxmlformats.org/officeDocument/2006/relationships/hyperlink" Target="https://www.vertex42.com/Links/go.php?urlid=GanttChartPro" TargetMode="External"/><Relationship Id="rId4"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vertex42.com/ExcelTemplates/excel-gantt-chart.html" TargetMode="External"/><Relationship Id="rId2" Type="http://schemas.openxmlformats.org/officeDocument/2006/relationships/hyperlink" Target="https://www.vertex42.com/licensing/EULA_privateuse.html"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4.88"/>
    <col customWidth="1" min="2" max="2" width="31.13"/>
    <col customWidth="1" min="3" max="3" width="6.38"/>
    <col customWidth="1" hidden="1" min="4" max="4" width="6.88"/>
    <col customWidth="1" min="5" max="6" width="12.0"/>
    <col customWidth="1" min="7" max="7" width="6.0"/>
    <col customWidth="1" min="8" max="8" width="6.75"/>
    <col customWidth="1" min="9" max="9" width="6.5"/>
    <col customWidth="1" min="10" max="10" width="1.88"/>
    <col customWidth="1" min="11" max="381" width="2.5"/>
  </cols>
  <sheetData>
    <row r="1" ht="30.0" customHeight="1">
      <c r="A1" s="1" t="s">
        <v>0</v>
      </c>
      <c r="B1" s="2"/>
      <c r="C1" s="2"/>
      <c r="D1" s="2"/>
      <c r="E1" s="2"/>
      <c r="F1" s="2"/>
      <c r="I1" s="3"/>
      <c r="K1" s="4"/>
    </row>
    <row r="2" ht="18.0" customHeight="1">
      <c r="A2" s="5"/>
      <c r="B2" s="6"/>
      <c r="C2" s="6"/>
      <c r="D2" s="7"/>
      <c r="E2" s="8"/>
      <c r="F2" s="8"/>
      <c r="H2" s="9"/>
    </row>
    <row r="3" ht="12.0" customHeight="1">
      <c r="A3" s="5"/>
      <c r="B3" s="10"/>
      <c r="H3" s="9"/>
      <c r="K3" s="11"/>
      <c r="L3" s="11"/>
      <c r="M3" s="11"/>
      <c r="N3" s="11"/>
      <c r="O3" s="11"/>
      <c r="P3" s="11"/>
      <c r="Q3" s="11"/>
      <c r="R3" s="11"/>
      <c r="S3" s="11"/>
      <c r="T3" s="11"/>
      <c r="U3" s="11"/>
      <c r="V3" s="11"/>
      <c r="W3" s="11"/>
      <c r="X3" s="11"/>
      <c r="Y3" s="11"/>
      <c r="Z3" s="11"/>
      <c r="AA3" s="11"/>
    </row>
    <row r="4" ht="17.25" customHeight="1">
      <c r="A4" s="10"/>
      <c r="B4" s="3" t="s">
        <v>1</v>
      </c>
      <c r="C4" s="12">
        <v>46064.0</v>
      </c>
      <c r="D4" s="13"/>
      <c r="E4" s="13"/>
      <c r="F4" s="10"/>
      <c r="G4" s="3" t="s">
        <v>2</v>
      </c>
      <c r="H4" s="14">
        <v>1.0</v>
      </c>
      <c r="I4" s="10"/>
      <c r="J4" s="10"/>
      <c r="K4" s="15" t="str">
        <f>"Week "&amp;(K6-($C$4-WEEKDAY($C$4,1)+2))/7+1</f>
        <v>Week 1</v>
      </c>
      <c r="Q4" s="16"/>
      <c r="R4" s="15" t="str">
        <f>"Week "&amp;(R6-($C$4-WEEKDAY($C$4,1)+2))/7+1</f>
        <v>Week 2</v>
      </c>
      <c r="X4" s="16"/>
      <c r="Y4" s="15" t="str">
        <f>"Week "&amp;(Y6-($C$4-WEEKDAY($C$4,1)+2))/7+1</f>
        <v>Week 3</v>
      </c>
      <c r="AE4" s="16"/>
      <c r="AF4" s="15" t="str">
        <f>"Week "&amp;(AF6-($C$4-WEEKDAY($C$4,1)+2))/7+1</f>
        <v>Week 4</v>
      </c>
      <c r="AL4" s="16"/>
      <c r="AM4" s="15" t="str">
        <f>"Week "&amp;(AM6-($C$4-WEEKDAY($C$4,1)+2))/7+1</f>
        <v>Week 5</v>
      </c>
      <c r="AS4" s="16"/>
      <c r="AT4" s="15" t="str">
        <f>"Week "&amp;(AT6-($C$4-WEEKDAY($C$4,1)+2))/7+1</f>
        <v>Week 6</v>
      </c>
      <c r="AZ4" s="16"/>
      <c r="BA4" s="15" t="str">
        <f>"Week "&amp;(BA6-($C$4-WEEKDAY($C$4,1)+2))/7+1</f>
        <v>Week 7</v>
      </c>
      <c r="BG4" s="16"/>
      <c r="BH4" s="15" t="str">
        <f>"Week "&amp;(BH6-($C$4-WEEKDAY($C$4,1)+2))/7+1</f>
        <v>Week 8</v>
      </c>
      <c r="BN4" s="16"/>
      <c r="BO4" s="15" t="str">
        <f>"Week "&amp;(BO6-($C$4-WEEKDAY($C$4,1)+2))/7+1</f>
        <v>Week 9</v>
      </c>
      <c r="BU4" s="16"/>
      <c r="BV4" s="15" t="str">
        <f>"Week "&amp;(BV6-($C$4-WEEKDAY($C$4,1)+2))/7+1</f>
        <v>Week 10</v>
      </c>
      <c r="CB4" s="16"/>
      <c r="CC4" s="15" t="str">
        <f>"Week "&amp;(CC6-($C$4-WEEKDAY($C$4,1)+2))/7+1</f>
        <v>Week 11</v>
      </c>
      <c r="CI4" s="16"/>
      <c r="CJ4" s="15" t="str">
        <f>"Week "&amp;(CJ6-($C$4-WEEKDAY($C$4,1)+2))/7+1</f>
        <v>Week 12</v>
      </c>
      <c r="CP4" s="16"/>
      <c r="CQ4" s="15" t="str">
        <f>"Week "&amp;(CQ6-($C$4-WEEKDAY($C$4,1)+2))/7+1</f>
        <v>Week 13</v>
      </c>
      <c r="CW4" s="16"/>
      <c r="CX4" s="15" t="str">
        <f>"Week "&amp;(CX6-($C$4-WEEKDAY($C$4,1)+2))/7+1</f>
        <v>Week 14</v>
      </c>
      <c r="DD4" s="16"/>
      <c r="DE4" s="15" t="str">
        <f>"Week "&amp;(DE6-($C$4-WEEKDAY($C$4,1)+2))/7+1</f>
        <v>Week 15</v>
      </c>
      <c r="DK4" s="16"/>
      <c r="DL4" s="15" t="str">
        <f>"Week "&amp;(DL6-($C$4-WEEKDAY($C$4,1)+2))/7+1</f>
        <v>Week 16</v>
      </c>
      <c r="DR4" s="16"/>
      <c r="DS4" s="15" t="str">
        <f>"Week "&amp;(DS6-($C$4-WEEKDAY($C$4,1)+2))/7+1</f>
        <v>Week 17</v>
      </c>
      <c r="DY4" s="16"/>
      <c r="DZ4" s="15" t="str">
        <f>"Week "&amp;(DZ6-($C$4-WEEKDAY($C$4,1)+2))/7+1</f>
        <v>Week 18</v>
      </c>
      <c r="EF4" s="16"/>
      <c r="EG4" s="15" t="str">
        <f>"Week "&amp;(EG6-($C$4-WEEKDAY($C$4,1)+2))/7+1</f>
        <v>Week 19</v>
      </c>
      <c r="EM4" s="16"/>
      <c r="EN4" s="15" t="str">
        <f>"Week "&amp;(EN6-($C$4-WEEKDAY($C$4,1)+2))/7+1</f>
        <v>Week 20</v>
      </c>
      <c r="ET4" s="16"/>
      <c r="EU4" s="15" t="str">
        <f>"Week "&amp;(EU6-($C$4-WEEKDAY($C$4,1)+2))/7+1</f>
        <v>Week 21</v>
      </c>
      <c r="FA4" s="16"/>
      <c r="FB4" s="15" t="str">
        <f>"Week "&amp;(FB6-($C$4-WEEKDAY($C$4,1)+2))/7+1</f>
        <v>Week 22</v>
      </c>
      <c r="FH4" s="16"/>
      <c r="FI4" s="15" t="str">
        <f>"Week "&amp;(FI6-($C$4-WEEKDAY($C$4,1)+2))/7+1</f>
        <v>Week 23</v>
      </c>
      <c r="FO4" s="16"/>
      <c r="FP4" s="15" t="str">
        <f>"Week "&amp;(FP6-($C$4-WEEKDAY($C$4,1)+2))/7+1</f>
        <v>Week 24</v>
      </c>
      <c r="FV4" s="16"/>
      <c r="FW4" s="15" t="str">
        <f>"Week "&amp;(FW6-($C$4-WEEKDAY($C$4,1)+2))/7+1</f>
        <v>Week 25</v>
      </c>
      <c r="GC4" s="16"/>
      <c r="GD4" s="15" t="str">
        <f>"Week "&amp;(GD6-($C$4-WEEKDAY($C$4,1)+2))/7+1</f>
        <v>Week 26</v>
      </c>
      <c r="GJ4" s="16"/>
      <c r="GK4" s="15" t="str">
        <f>"Week "&amp;(GK6-($C$4-WEEKDAY($C$4,1)+2))/7+1</f>
        <v>Week 27</v>
      </c>
      <c r="GQ4" s="16"/>
      <c r="GR4" s="15" t="str">
        <f>"Week "&amp;(GR6-($C$4-WEEKDAY($C$4,1)+2))/7+1</f>
        <v>Week 28</v>
      </c>
      <c r="GX4" s="16"/>
      <c r="GY4" s="15" t="str">
        <f>"Week "&amp;(GY6-($C$4-WEEKDAY($C$4,1)+2))/7+1</f>
        <v>Week 29</v>
      </c>
      <c r="HE4" s="16"/>
      <c r="HF4" s="15" t="str">
        <f>"Week "&amp;(HF6-($C$4-WEEKDAY($C$4,1)+2))/7+1</f>
        <v>Week 30</v>
      </c>
      <c r="HL4" s="16"/>
      <c r="HM4" s="15" t="str">
        <f>"Week "&amp;(HM6-($C$4-WEEKDAY($C$4,1)+2))/7+1</f>
        <v>Week 31</v>
      </c>
      <c r="HS4" s="16"/>
      <c r="HT4" s="15" t="str">
        <f>"Week "&amp;(HT6-($C$4-WEEKDAY($C$4,1)+2))/7+1</f>
        <v>Week 32</v>
      </c>
      <c r="HZ4" s="16"/>
      <c r="IA4" s="15" t="str">
        <f>"Week "&amp;(IA6-($C$4-WEEKDAY($C$4,1)+2))/7+1</f>
        <v>Week 33</v>
      </c>
      <c r="IG4" s="16"/>
      <c r="IH4" s="15" t="str">
        <f>"Week "&amp;(IH6-($C$4-WEEKDAY($C$4,1)+2))/7+1</f>
        <v>Week 34</v>
      </c>
      <c r="IN4" s="16"/>
      <c r="IO4" s="15" t="str">
        <f>"Week "&amp;(IO6-($C$4-WEEKDAY($C$4,1)+2))/7+1</f>
        <v>Week 35</v>
      </c>
      <c r="IU4" s="16"/>
      <c r="IV4" s="15" t="str">
        <f>"Week "&amp;(IV6-($C$4-WEEKDAY($C$4,1)+2))/7+1</f>
        <v>Week 36</v>
      </c>
      <c r="JB4" s="16"/>
      <c r="JC4" s="15" t="str">
        <f>"Week "&amp;(JC6-($C$4-WEEKDAY($C$4,1)+2))/7+1</f>
        <v>Week 37</v>
      </c>
      <c r="JI4" s="16"/>
      <c r="JJ4" s="15" t="str">
        <f>"Week "&amp;(JJ6-($C$4-WEEKDAY($C$4,1)+2))/7+1</f>
        <v>Week 38</v>
      </c>
      <c r="JP4" s="16"/>
      <c r="JQ4" s="15" t="str">
        <f>"Week "&amp;(JQ6-($C$4-WEEKDAY($C$4,1)+2))/7+1</f>
        <v>Week 39</v>
      </c>
      <c r="JW4" s="16"/>
      <c r="JX4" s="15" t="str">
        <f>"Week "&amp;(JX6-($C$4-WEEKDAY($C$4,1)+2))/7+1</f>
        <v>Week 40</v>
      </c>
      <c r="KD4" s="16"/>
      <c r="KE4" s="15" t="str">
        <f>"Week "&amp;(KE6-($C$4-WEEKDAY($C$4,1)+2))/7+1</f>
        <v>Week 41</v>
      </c>
      <c r="KK4" s="16"/>
      <c r="KL4" s="15" t="str">
        <f>"Week "&amp;(KL6-($C$4-WEEKDAY($C$4,1)+2))/7+1</f>
        <v>Week 42</v>
      </c>
      <c r="KR4" s="16"/>
      <c r="KS4" s="15" t="str">
        <f>"Week "&amp;(KS6-($C$4-WEEKDAY($C$4,1)+2))/7+1</f>
        <v>Week 43</v>
      </c>
      <c r="KY4" s="16"/>
      <c r="KZ4" s="15" t="str">
        <f>"Week "&amp;(KZ6-($C$4-WEEKDAY($C$4,1)+2))/7+1</f>
        <v>Week 44</v>
      </c>
      <c r="LF4" s="16"/>
      <c r="LG4" s="15" t="str">
        <f>"Week "&amp;(LG6-($C$4-WEEKDAY($C$4,1)+2))/7+1</f>
        <v>Week 45</v>
      </c>
      <c r="LM4" s="16"/>
      <c r="LN4" s="15" t="str">
        <f>"Week "&amp;(LN6-($C$4-WEEKDAY($C$4,1)+2))/7+1</f>
        <v>Week 46</v>
      </c>
      <c r="LT4" s="16"/>
      <c r="LU4" s="15" t="str">
        <f>"Week "&amp;(LU6-($C$4-WEEKDAY($C$4,1)+2))/7+1</f>
        <v>Week 47</v>
      </c>
      <c r="MA4" s="16"/>
      <c r="MB4" s="15" t="str">
        <f>"Week "&amp;(MB6-($C$4-WEEKDAY($C$4,1)+2))/7+1</f>
        <v>Week 48</v>
      </c>
      <c r="MH4" s="16"/>
      <c r="MI4" s="15" t="str">
        <f>"Week "&amp;(MI6-($C$4-WEEKDAY($C$4,1)+2))/7+1</f>
        <v>Week 49</v>
      </c>
      <c r="MO4" s="16"/>
      <c r="MP4" s="15" t="str">
        <f>"Week "&amp;(MP6-($C$4-WEEKDAY($C$4,1)+2))/7+1</f>
        <v>Week 50</v>
      </c>
      <c r="MV4" s="16"/>
      <c r="MW4" s="15" t="str">
        <f>"Week "&amp;(MW6-($C$4-WEEKDAY($C$4,1)+2))/7+1</f>
        <v>Week 51</v>
      </c>
      <c r="NC4" s="16"/>
      <c r="ND4" s="15" t="str">
        <f>"Week "&amp;(ND6-($C$4-WEEKDAY($C$4,1)+2))/7+1</f>
        <v>Week 52</v>
      </c>
      <c r="NJ4" s="16"/>
      <c r="NK4" s="15" t="str">
        <f>"Week "&amp;(NK6-($C$4-WEEKDAY($C$4,1)+2))/7+1</f>
        <v>Week 53</v>
      </c>
      <c r="NQ4" s="16"/>
    </row>
    <row r="5" ht="17.25" customHeight="1">
      <c r="A5" s="10"/>
      <c r="B5" s="3" t="s">
        <v>3</v>
      </c>
      <c r="C5" s="17" t="s">
        <v>4</v>
      </c>
      <c r="D5" s="18"/>
      <c r="E5" s="18"/>
      <c r="F5" s="10"/>
      <c r="G5" s="10"/>
      <c r="H5" s="10"/>
      <c r="I5" s="10"/>
      <c r="J5" s="10"/>
      <c r="K5" s="19">
        <f>K6</f>
        <v>46062</v>
      </c>
      <c r="Q5" s="16"/>
      <c r="R5" s="19">
        <f>R6</f>
        <v>46069</v>
      </c>
      <c r="X5" s="16"/>
      <c r="Y5" s="19">
        <f>Y6</f>
        <v>46076</v>
      </c>
      <c r="AE5" s="16"/>
      <c r="AF5" s="19">
        <f>AF6</f>
        <v>46083</v>
      </c>
      <c r="AL5" s="16"/>
      <c r="AM5" s="19">
        <f>AM6</f>
        <v>46090</v>
      </c>
      <c r="AS5" s="16"/>
      <c r="AT5" s="19">
        <f>AT6</f>
        <v>46097</v>
      </c>
      <c r="AZ5" s="16"/>
      <c r="BA5" s="19">
        <f>BA6</f>
        <v>46104</v>
      </c>
      <c r="BG5" s="16"/>
      <c r="BH5" s="19">
        <f>BH6</f>
        <v>46111</v>
      </c>
      <c r="BN5" s="16"/>
      <c r="BO5" s="19">
        <f>BO6</f>
        <v>46118</v>
      </c>
      <c r="BU5" s="16"/>
      <c r="BV5" s="19">
        <f>BV6</f>
        <v>46125</v>
      </c>
      <c r="CB5" s="16"/>
      <c r="CC5" s="19">
        <f>CC6</f>
        <v>46132</v>
      </c>
      <c r="CI5" s="16"/>
      <c r="CJ5" s="19">
        <f>CJ6</f>
        <v>46139</v>
      </c>
      <c r="CP5" s="16"/>
      <c r="CQ5" s="19">
        <f>CQ6</f>
        <v>46146</v>
      </c>
      <c r="CW5" s="16"/>
      <c r="CX5" s="19">
        <f>CX6</f>
        <v>46153</v>
      </c>
      <c r="DD5" s="16"/>
      <c r="DE5" s="19">
        <f>DE6</f>
        <v>46160</v>
      </c>
      <c r="DK5" s="16"/>
      <c r="DL5" s="19">
        <f>DL6</f>
        <v>46167</v>
      </c>
      <c r="DR5" s="16"/>
      <c r="DS5" s="19">
        <f>DS6</f>
        <v>46174</v>
      </c>
      <c r="DY5" s="16"/>
      <c r="DZ5" s="19">
        <f>DZ6</f>
        <v>46181</v>
      </c>
      <c r="EF5" s="16"/>
      <c r="EG5" s="19">
        <f>EG6</f>
        <v>46188</v>
      </c>
      <c r="EM5" s="16"/>
      <c r="EN5" s="19">
        <f>EN6</f>
        <v>46195</v>
      </c>
      <c r="ET5" s="16"/>
      <c r="EU5" s="19">
        <f>EU6</f>
        <v>46202</v>
      </c>
      <c r="FA5" s="16"/>
      <c r="FB5" s="19">
        <f>FB6</f>
        <v>46209</v>
      </c>
      <c r="FH5" s="16"/>
      <c r="FI5" s="19">
        <f>FI6</f>
        <v>46216</v>
      </c>
      <c r="FO5" s="16"/>
      <c r="FP5" s="19">
        <f>FP6</f>
        <v>46223</v>
      </c>
      <c r="FV5" s="16"/>
      <c r="FW5" s="19">
        <f>FW6</f>
        <v>46230</v>
      </c>
      <c r="GC5" s="16"/>
      <c r="GD5" s="19">
        <f>GD6</f>
        <v>46237</v>
      </c>
      <c r="GJ5" s="16"/>
      <c r="GK5" s="19">
        <f>GK6</f>
        <v>46244</v>
      </c>
      <c r="GQ5" s="16"/>
      <c r="GR5" s="19">
        <f>GR6</f>
        <v>46251</v>
      </c>
      <c r="GX5" s="16"/>
      <c r="GY5" s="19">
        <f>GY6</f>
        <v>46258</v>
      </c>
      <c r="HE5" s="16"/>
      <c r="HF5" s="19">
        <f>HF6</f>
        <v>46265</v>
      </c>
      <c r="HL5" s="16"/>
      <c r="HM5" s="19">
        <f>HM6</f>
        <v>46272</v>
      </c>
      <c r="HS5" s="16"/>
      <c r="HT5" s="19">
        <f>HT6</f>
        <v>46279</v>
      </c>
      <c r="HZ5" s="16"/>
      <c r="IA5" s="19">
        <f>IA6</f>
        <v>46286</v>
      </c>
      <c r="IG5" s="16"/>
      <c r="IH5" s="19">
        <f>IH6</f>
        <v>46293</v>
      </c>
      <c r="IN5" s="16"/>
      <c r="IO5" s="19">
        <f>IO6</f>
        <v>46300</v>
      </c>
      <c r="IU5" s="16"/>
      <c r="IV5" s="19">
        <f>IV6</f>
        <v>46307</v>
      </c>
      <c r="JB5" s="16"/>
      <c r="JC5" s="19">
        <f>JC6</f>
        <v>46314</v>
      </c>
      <c r="JI5" s="16"/>
      <c r="JJ5" s="19">
        <f>JJ6</f>
        <v>46321</v>
      </c>
      <c r="JP5" s="16"/>
      <c r="JQ5" s="19">
        <f>JQ6</f>
        <v>46328</v>
      </c>
      <c r="JW5" s="16"/>
      <c r="JX5" s="19">
        <f>JX6</f>
        <v>46335</v>
      </c>
      <c r="KD5" s="16"/>
      <c r="KE5" s="19">
        <f>KE6</f>
        <v>46342</v>
      </c>
      <c r="KK5" s="16"/>
      <c r="KL5" s="19">
        <f>KL6</f>
        <v>46349</v>
      </c>
      <c r="KR5" s="16"/>
      <c r="KS5" s="19">
        <f>KS6</f>
        <v>46356</v>
      </c>
      <c r="KY5" s="16"/>
      <c r="KZ5" s="19">
        <f>KZ6</f>
        <v>46363</v>
      </c>
      <c r="LF5" s="16"/>
      <c r="LG5" s="19">
        <f>LG6</f>
        <v>46370</v>
      </c>
      <c r="LM5" s="16"/>
      <c r="LN5" s="19">
        <f>LN6</f>
        <v>46377</v>
      </c>
      <c r="LT5" s="16"/>
      <c r="LU5" s="19">
        <f>LU6</f>
        <v>46384</v>
      </c>
      <c r="MA5" s="16"/>
      <c r="MB5" s="19">
        <f>MB6</f>
        <v>46391</v>
      </c>
      <c r="MH5" s="16"/>
      <c r="MI5" s="19">
        <f>MI6</f>
        <v>46398</v>
      </c>
      <c r="MO5" s="16"/>
      <c r="MP5" s="19">
        <f>MP6</f>
        <v>46405</v>
      </c>
      <c r="MV5" s="16"/>
      <c r="MW5" s="19">
        <f>MW6</f>
        <v>46412</v>
      </c>
      <c r="NC5" s="16"/>
      <c r="ND5" s="19">
        <f>ND6</f>
        <v>46419</v>
      </c>
      <c r="NJ5" s="16"/>
      <c r="NK5" s="19">
        <f>NK6</f>
        <v>46426</v>
      </c>
      <c r="NQ5" s="16"/>
    </row>
    <row r="6" ht="12.75" customHeight="1">
      <c r="A6" s="10"/>
      <c r="B6" s="10"/>
      <c r="C6" s="10"/>
      <c r="D6" s="10"/>
      <c r="E6" s="10"/>
      <c r="F6" s="10"/>
      <c r="G6" s="10"/>
      <c r="H6" s="10"/>
      <c r="I6" s="10"/>
      <c r="J6" s="10"/>
      <c r="K6" s="20">
        <f>C4-WEEKDAY(C4,1)+2+7*(H4-1)</f>
        <v>46062</v>
      </c>
      <c r="L6" s="21">
        <f t="shared" ref="L6:NQ6" si="1">K6+1</f>
        <v>46063</v>
      </c>
      <c r="M6" s="21">
        <f t="shared" si="1"/>
        <v>46064</v>
      </c>
      <c r="N6" s="21">
        <f t="shared" si="1"/>
        <v>46065</v>
      </c>
      <c r="O6" s="21">
        <f t="shared" si="1"/>
        <v>46066</v>
      </c>
      <c r="P6" s="21">
        <f t="shared" si="1"/>
        <v>46067</v>
      </c>
      <c r="Q6" s="22">
        <f t="shared" si="1"/>
        <v>46068</v>
      </c>
      <c r="R6" s="20">
        <f t="shared" si="1"/>
        <v>46069</v>
      </c>
      <c r="S6" s="21">
        <f t="shared" si="1"/>
        <v>46070</v>
      </c>
      <c r="T6" s="21">
        <f t="shared" si="1"/>
        <v>46071</v>
      </c>
      <c r="U6" s="21">
        <f t="shared" si="1"/>
        <v>46072</v>
      </c>
      <c r="V6" s="21">
        <f t="shared" si="1"/>
        <v>46073</v>
      </c>
      <c r="W6" s="21">
        <f t="shared" si="1"/>
        <v>46074</v>
      </c>
      <c r="X6" s="22">
        <f t="shared" si="1"/>
        <v>46075</v>
      </c>
      <c r="Y6" s="20">
        <f t="shared" si="1"/>
        <v>46076</v>
      </c>
      <c r="Z6" s="21">
        <f t="shared" si="1"/>
        <v>46077</v>
      </c>
      <c r="AA6" s="21">
        <f t="shared" si="1"/>
        <v>46078</v>
      </c>
      <c r="AB6" s="21">
        <f t="shared" si="1"/>
        <v>46079</v>
      </c>
      <c r="AC6" s="21">
        <f t="shared" si="1"/>
        <v>46080</v>
      </c>
      <c r="AD6" s="21">
        <f t="shared" si="1"/>
        <v>46081</v>
      </c>
      <c r="AE6" s="22">
        <f t="shared" si="1"/>
        <v>46082</v>
      </c>
      <c r="AF6" s="20">
        <f t="shared" si="1"/>
        <v>46083</v>
      </c>
      <c r="AG6" s="21">
        <f t="shared" si="1"/>
        <v>46084</v>
      </c>
      <c r="AH6" s="21">
        <f t="shared" si="1"/>
        <v>46085</v>
      </c>
      <c r="AI6" s="21">
        <f t="shared" si="1"/>
        <v>46086</v>
      </c>
      <c r="AJ6" s="21">
        <f t="shared" si="1"/>
        <v>46087</v>
      </c>
      <c r="AK6" s="21">
        <f t="shared" si="1"/>
        <v>46088</v>
      </c>
      <c r="AL6" s="22">
        <f t="shared" si="1"/>
        <v>46089</v>
      </c>
      <c r="AM6" s="20">
        <f t="shared" si="1"/>
        <v>46090</v>
      </c>
      <c r="AN6" s="21">
        <f t="shared" si="1"/>
        <v>46091</v>
      </c>
      <c r="AO6" s="21">
        <f t="shared" si="1"/>
        <v>46092</v>
      </c>
      <c r="AP6" s="21">
        <f t="shared" si="1"/>
        <v>46093</v>
      </c>
      <c r="AQ6" s="21">
        <f t="shared" si="1"/>
        <v>46094</v>
      </c>
      <c r="AR6" s="21">
        <f t="shared" si="1"/>
        <v>46095</v>
      </c>
      <c r="AS6" s="22">
        <f t="shared" si="1"/>
        <v>46096</v>
      </c>
      <c r="AT6" s="20">
        <f t="shared" si="1"/>
        <v>46097</v>
      </c>
      <c r="AU6" s="21">
        <f t="shared" si="1"/>
        <v>46098</v>
      </c>
      <c r="AV6" s="21">
        <f t="shared" si="1"/>
        <v>46099</v>
      </c>
      <c r="AW6" s="21">
        <f t="shared" si="1"/>
        <v>46100</v>
      </c>
      <c r="AX6" s="21">
        <f t="shared" si="1"/>
        <v>46101</v>
      </c>
      <c r="AY6" s="21">
        <f t="shared" si="1"/>
        <v>46102</v>
      </c>
      <c r="AZ6" s="22">
        <f t="shared" si="1"/>
        <v>46103</v>
      </c>
      <c r="BA6" s="20">
        <f t="shared" si="1"/>
        <v>46104</v>
      </c>
      <c r="BB6" s="21">
        <f t="shared" si="1"/>
        <v>46105</v>
      </c>
      <c r="BC6" s="21">
        <f t="shared" si="1"/>
        <v>46106</v>
      </c>
      <c r="BD6" s="21">
        <f t="shared" si="1"/>
        <v>46107</v>
      </c>
      <c r="BE6" s="21">
        <f t="shared" si="1"/>
        <v>46108</v>
      </c>
      <c r="BF6" s="21">
        <f t="shared" si="1"/>
        <v>46109</v>
      </c>
      <c r="BG6" s="22">
        <f t="shared" si="1"/>
        <v>46110</v>
      </c>
      <c r="BH6" s="20">
        <f t="shared" si="1"/>
        <v>46111</v>
      </c>
      <c r="BI6" s="21">
        <f t="shared" si="1"/>
        <v>46112</v>
      </c>
      <c r="BJ6" s="21">
        <f t="shared" si="1"/>
        <v>46113</v>
      </c>
      <c r="BK6" s="21">
        <f t="shared" si="1"/>
        <v>46114</v>
      </c>
      <c r="BL6" s="21">
        <f t="shared" si="1"/>
        <v>46115</v>
      </c>
      <c r="BM6" s="21">
        <f t="shared" si="1"/>
        <v>46116</v>
      </c>
      <c r="BN6" s="22">
        <f t="shared" si="1"/>
        <v>46117</v>
      </c>
      <c r="BO6" s="20">
        <f t="shared" si="1"/>
        <v>46118</v>
      </c>
      <c r="BP6" s="21">
        <f t="shared" si="1"/>
        <v>46119</v>
      </c>
      <c r="BQ6" s="21">
        <f t="shared" si="1"/>
        <v>46120</v>
      </c>
      <c r="BR6" s="21">
        <f t="shared" si="1"/>
        <v>46121</v>
      </c>
      <c r="BS6" s="21">
        <f t="shared" si="1"/>
        <v>46122</v>
      </c>
      <c r="BT6" s="21">
        <f t="shared" si="1"/>
        <v>46123</v>
      </c>
      <c r="BU6" s="22">
        <f t="shared" si="1"/>
        <v>46124</v>
      </c>
      <c r="BV6" s="20">
        <f t="shared" si="1"/>
        <v>46125</v>
      </c>
      <c r="BW6" s="21">
        <f t="shared" si="1"/>
        <v>46126</v>
      </c>
      <c r="BX6" s="21">
        <f t="shared" si="1"/>
        <v>46127</v>
      </c>
      <c r="BY6" s="21">
        <f t="shared" si="1"/>
        <v>46128</v>
      </c>
      <c r="BZ6" s="21">
        <f t="shared" si="1"/>
        <v>46129</v>
      </c>
      <c r="CA6" s="21">
        <f t="shared" si="1"/>
        <v>46130</v>
      </c>
      <c r="CB6" s="22">
        <f t="shared" si="1"/>
        <v>46131</v>
      </c>
      <c r="CC6" s="20">
        <f t="shared" si="1"/>
        <v>46132</v>
      </c>
      <c r="CD6" s="21">
        <f t="shared" si="1"/>
        <v>46133</v>
      </c>
      <c r="CE6" s="21">
        <f t="shared" si="1"/>
        <v>46134</v>
      </c>
      <c r="CF6" s="21">
        <f t="shared" si="1"/>
        <v>46135</v>
      </c>
      <c r="CG6" s="21">
        <f t="shared" si="1"/>
        <v>46136</v>
      </c>
      <c r="CH6" s="21">
        <f t="shared" si="1"/>
        <v>46137</v>
      </c>
      <c r="CI6" s="22">
        <f t="shared" si="1"/>
        <v>46138</v>
      </c>
      <c r="CJ6" s="20">
        <f t="shared" si="1"/>
        <v>46139</v>
      </c>
      <c r="CK6" s="21">
        <f t="shared" si="1"/>
        <v>46140</v>
      </c>
      <c r="CL6" s="21">
        <f t="shared" si="1"/>
        <v>46141</v>
      </c>
      <c r="CM6" s="21">
        <f t="shared" si="1"/>
        <v>46142</v>
      </c>
      <c r="CN6" s="21">
        <f t="shared" si="1"/>
        <v>46143</v>
      </c>
      <c r="CO6" s="21">
        <f t="shared" si="1"/>
        <v>46144</v>
      </c>
      <c r="CP6" s="22">
        <f t="shared" si="1"/>
        <v>46145</v>
      </c>
      <c r="CQ6" s="20">
        <f t="shared" si="1"/>
        <v>46146</v>
      </c>
      <c r="CR6" s="21">
        <f t="shared" si="1"/>
        <v>46147</v>
      </c>
      <c r="CS6" s="21">
        <f t="shared" si="1"/>
        <v>46148</v>
      </c>
      <c r="CT6" s="21">
        <f t="shared" si="1"/>
        <v>46149</v>
      </c>
      <c r="CU6" s="21">
        <f t="shared" si="1"/>
        <v>46150</v>
      </c>
      <c r="CV6" s="21">
        <f t="shared" si="1"/>
        <v>46151</v>
      </c>
      <c r="CW6" s="22">
        <f t="shared" si="1"/>
        <v>46152</v>
      </c>
      <c r="CX6" s="20">
        <f t="shared" si="1"/>
        <v>46153</v>
      </c>
      <c r="CY6" s="21">
        <f t="shared" si="1"/>
        <v>46154</v>
      </c>
      <c r="CZ6" s="21">
        <f t="shared" si="1"/>
        <v>46155</v>
      </c>
      <c r="DA6" s="21">
        <f t="shared" si="1"/>
        <v>46156</v>
      </c>
      <c r="DB6" s="21">
        <f t="shared" si="1"/>
        <v>46157</v>
      </c>
      <c r="DC6" s="21">
        <f t="shared" si="1"/>
        <v>46158</v>
      </c>
      <c r="DD6" s="22">
        <f t="shared" si="1"/>
        <v>46159</v>
      </c>
      <c r="DE6" s="20">
        <f t="shared" si="1"/>
        <v>46160</v>
      </c>
      <c r="DF6" s="21">
        <f t="shared" si="1"/>
        <v>46161</v>
      </c>
      <c r="DG6" s="21">
        <f t="shared" si="1"/>
        <v>46162</v>
      </c>
      <c r="DH6" s="21">
        <f t="shared" si="1"/>
        <v>46163</v>
      </c>
      <c r="DI6" s="21">
        <f t="shared" si="1"/>
        <v>46164</v>
      </c>
      <c r="DJ6" s="21">
        <f t="shared" si="1"/>
        <v>46165</v>
      </c>
      <c r="DK6" s="22">
        <f t="shared" si="1"/>
        <v>46166</v>
      </c>
      <c r="DL6" s="20">
        <f t="shared" si="1"/>
        <v>46167</v>
      </c>
      <c r="DM6" s="21">
        <f t="shared" si="1"/>
        <v>46168</v>
      </c>
      <c r="DN6" s="21">
        <f t="shared" si="1"/>
        <v>46169</v>
      </c>
      <c r="DO6" s="21">
        <f t="shared" si="1"/>
        <v>46170</v>
      </c>
      <c r="DP6" s="21">
        <f t="shared" si="1"/>
        <v>46171</v>
      </c>
      <c r="DQ6" s="21">
        <f t="shared" si="1"/>
        <v>46172</v>
      </c>
      <c r="DR6" s="22">
        <f t="shared" si="1"/>
        <v>46173</v>
      </c>
      <c r="DS6" s="20">
        <f t="shared" si="1"/>
        <v>46174</v>
      </c>
      <c r="DT6" s="21">
        <f t="shared" si="1"/>
        <v>46175</v>
      </c>
      <c r="DU6" s="21">
        <f t="shared" si="1"/>
        <v>46176</v>
      </c>
      <c r="DV6" s="21">
        <f t="shared" si="1"/>
        <v>46177</v>
      </c>
      <c r="DW6" s="21">
        <f t="shared" si="1"/>
        <v>46178</v>
      </c>
      <c r="DX6" s="21">
        <f t="shared" si="1"/>
        <v>46179</v>
      </c>
      <c r="DY6" s="22">
        <f t="shared" si="1"/>
        <v>46180</v>
      </c>
      <c r="DZ6" s="20">
        <f t="shared" si="1"/>
        <v>46181</v>
      </c>
      <c r="EA6" s="21">
        <f t="shared" si="1"/>
        <v>46182</v>
      </c>
      <c r="EB6" s="21">
        <f t="shared" si="1"/>
        <v>46183</v>
      </c>
      <c r="EC6" s="21">
        <f t="shared" si="1"/>
        <v>46184</v>
      </c>
      <c r="ED6" s="21">
        <f t="shared" si="1"/>
        <v>46185</v>
      </c>
      <c r="EE6" s="21">
        <f t="shared" si="1"/>
        <v>46186</v>
      </c>
      <c r="EF6" s="22">
        <f t="shared" si="1"/>
        <v>46187</v>
      </c>
      <c r="EG6" s="20">
        <f t="shared" si="1"/>
        <v>46188</v>
      </c>
      <c r="EH6" s="21">
        <f t="shared" si="1"/>
        <v>46189</v>
      </c>
      <c r="EI6" s="21">
        <f t="shared" si="1"/>
        <v>46190</v>
      </c>
      <c r="EJ6" s="21">
        <f t="shared" si="1"/>
        <v>46191</v>
      </c>
      <c r="EK6" s="21">
        <f t="shared" si="1"/>
        <v>46192</v>
      </c>
      <c r="EL6" s="21">
        <f t="shared" si="1"/>
        <v>46193</v>
      </c>
      <c r="EM6" s="22">
        <f t="shared" si="1"/>
        <v>46194</v>
      </c>
      <c r="EN6" s="20">
        <f t="shared" si="1"/>
        <v>46195</v>
      </c>
      <c r="EO6" s="21">
        <f t="shared" si="1"/>
        <v>46196</v>
      </c>
      <c r="EP6" s="21">
        <f t="shared" si="1"/>
        <v>46197</v>
      </c>
      <c r="EQ6" s="21">
        <f t="shared" si="1"/>
        <v>46198</v>
      </c>
      <c r="ER6" s="21">
        <f t="shared" si="1"/>
        <v>46199</v>
      </c>
      <c r="ES6" s="21">
        <f t="shared" si="1"/>
        <v>46200</v>
      </c>
      <c r="ET6" s="22">
        <f t="shared" si="1"/>
        <v>46201</v>
      </c>
      <c r="EU6" s="20">
        <f t="shared" si="1"/>
        <v>46202</v>
      </c>
      <c r="EV6" s="21">
        <f t="shared" si="1"/>
        <v>46203</v>
      </c>
      <c r="EW6" s="21">
        <f t="shared" si="1"/>
        <v>46204</v>
      </c>
      <c r="EX6" s="21">
        <f t="shared" si="1"/>
        <v>46205</v>
      </c>
      <c r="EY6" s="21">
        <f t="shared" si="1"/>
        <v>46206</v>
      </c>
      <c r="EZ6" s="21">
        <f t="shared" si="1"/>
        <v>46207</v>
      </c>
      <c r="FA6" s="22">
        <f t="shared" si="1"/>
        <v>46208</v>
      </c>
      <c r="FB6" s="20">
        <f t="shared" si="1"/>
        <v>46209</v>
      </c>
      <c r="FC6" s="21">
        <f t="shared" si="1"/>
        <v>46210</v>
      </c>
      <c r="FD6" s="21">
        <f t="shared" si="1"/>
        <v>46211</v>
      </c>
      <c r="FE6" s="21">
        <f t="shared" si="1"/>
        <v>46212</v>
      </c>
      <c r="FF6" s="21">
        <f t="shared" si="1"/>
        <v>46213</v>
      </c>
      <c r="FG6" s="21">
        <f t="shared" si="1"/>
        <v>46214</v>
      </c>
      <c r="FH6" s="22">
        <f t="shared" si="1"/>
        <v>46215</v>
      </c>
      <c r="FI6" s="20">
        <f t="shared" si="1"/>
        <v>46216</v>
      </c>
      <c r="FJ6" s="21">
        <f t="shared" si="1"/>
        <v>46217</v>
      </c>
      <c r="FK6" s="21">
        <f t="shared" si="1"/>
        <v>46218</v>
      </c>
      <c r="FL6" s="21">
        <f t="shared" si="1"/>
        <v>46219</v>
      </c>
      <c r="FM6" s="21">
        <f t="shared" si="1"/>
        <v>46220</v>
      </c>
      <c r="FN6" s="21">
        <f t="shared" si="1"/>
        <v>46221</v>
      </c>
      <c r="FO6" s="22">
        <f t="shared" si="1"/>
        <v>46222</v>
      </c>
      <c r="FP6" s="20">
        <f t="shared" si="1"/>
        <v>46223</v>
      </c>
      <c r="FQ6" s="21">
        <f t="shared" si="1"/>
        <v>46224</v>
      </c>
      <c r="FR6" s="21">
        <f t="shared" si="1"/>
        <v>46225</v>
      </c>
      <c r="FS6" s="21">
        <f t="shared" si="1"/>
        <v>46226</v>
      </c>
      <c r="FT6" s="21">
        <f t="shared" si="1"/>
        <v>46227</v>
      </c>
      <c r="FU6" s="21">
        <f t="shared" si="1"/>
        <v>46228</v>
      </c>
      <c r="FV6" s="22">
        <f t="shared" si="1"/>
        <v>46229</v>
      </c>
      <c r="FW6" s="20">
        <f t="shared" si="1"/>
        <v>46230</v>
      </c>
      <c r="FX6" s="21">
        <f t="shared" si="1"/>
        <v>46231</v>
      </c>
      <c r="FY6" s="21">
        <f t="shared" si="1"/>
        <v>46232</v>
      </c>
      <c r="FZ6" s="21">
        <f t="shared" si="1"/>
        <v>46233</v>
      </c>
      <c r="GA6" s="21">
        <f t="shared" si="1"/>
        <v>46234</v>
      </c>
      <c r="GB6" s="21">
        <f t="shared" si="1"/>
        <v>46235</v>
      </c>
      <c r="GC6" s="22">
        <f t="shared" si="1"/>
        <v>46236</v>
      </c>
      <c r="GD6" s="20">
        <f t="shared" si="1"/>
        <v>46237</v>
      </c>
      <c r="GE6" s="21">
        <f t="shared" si="1"/>
        <v>46238</v>
      </c>
      <c r="GF6" s="21">
        <f t="shared" si="1"/>
        <v>46239</v>
      </c>
      <c r="GG6" s="21">
        <f t="shared" si="1"/>
        <v>46240</v>
      </c>
      <c r="GH6" s="21">
        <f t="shared" si="1"/>
        <v>46241</v>
      </c>
      <c r="GI6" s="21">
        <f t="shared" si="1"/>
        <v>46242</v>
      </c>
      <c r="GJ6" s="22">
        <f t="shared" si="1"/>
        <v>46243</v>
      </c>
      <c r="GK6" s="20">
        <f t="shared" si="1"/>
        <v>46244</v>
      </c>
      <c r="GL6" s="21">
        <f t="shared" si="1"/>
        <v>46245</v>
      </c>
      <c r="GM6" s="21">
        <f t="shared" si="1"/>
        <v>46246</v>
      </c>
      <c r="GN6" s="21">
        <f t="shared" si="1"/>
        <v>46247</v>
      </c>
      <c r="GO6" s="21">
        <f t="shared" si="1"/>
        <v>46248</v>
      </c>
      <c r="GP6" s="21">
        <f t="shared" si="1"/>
        <v>46249</v>
      </c>
      <c r="GQ6" s="22">
        <f t="shared" si="1"/>
        <v>46250</v>
      </c>
      <c r="GR6" s="20">
        <f t="shared" si="1"/>
        <v>46251</v>
      </c>
      <c r="GS6" s="21">
        <f t="shared" si="1"/>
        <v>46252</v>
      </c>
      <c r="GT6" s="21">
        <f t="shared" si="1"/>
        <v>46253</v>
      </c>
      <c r="GU6" s="21">
        <f t="shared" si="1"/>
        <v>46254</v>
      </c>
      <c r="GV6" s="21">
        <f t="shared" si="1"/>
        <v>46255</v>
      </c>
      <c r="GW6" s="21">
        <f t="shared" si="1"/>
        <v>46256</v>
      </c>
      <c r="GX6" s="22">
        <f t="shared" si="1"/>
        <v>46257</v>
      </c>
      <c r="GY6" s="20">
        <f t="shared" si="1"/>
        <v>46258</v>
      </c>
      <c r="GZ6" s="21">
        <f t="shared" si="1"/>
        <v>46259</v>
      </c>
      <c r="HA6" s="21">
        <f t="shared" si="1"/>
        <v>46260</v>
      </c>
      <c r="HB6" s="21">
        <f t="shared" si="1"/>
        <v>46261</v>
      </c>
      <c r="HC6" s="21">
        <f t="shared" si="1"/>
        <v>46262</v>
      </c>
      <c r="HD6" s="21">
        <f t="shared" si="1"/>
        <v>46263</v>
      </c>
      <c r="HE6" s="22">
        <f t="shared" si="1"/>
        <v>46264</v>
      </c>
      <c r="HF6" s="20">
        <f t="shared" si="1"/>
        <v>46265</v>
      </c>
      <c r="HG6" s="21">
        <f t="shared" si="1"/>
        <v>46266</v>
      </c>
      <c r="HH6" s="21">
        <f t="shared" si="1"/>
        <v>46267</v>
      </c>
      <c r="HI6" s="21">
        <f t="shared" si="1"/>
        <v>46268</v>
      </c>
      <c r="HJ6" s="21">
        <f t="shared" si="1"/>
        <v>46269</v>
      </c>
      <c r="HK6" s="21">
        <f t="shared" si="1"/>
        <v>46270</v>
      </c>
      <c r="HL6" s="22">
        <f t="shared" si="1"/>
        <v>46271</v>
      </c>
      <c r="HM6" s="20">
        <f t="shared" si="1"/>
        <v>46272</v>
      </c>
      <c r="HN6" s="21">
        <f t="shared" si="1"/>
        <v>46273</v>
      </c>
      <c r="HO6" s="21">
        <f t="shared" si="1"/>
        <v>46274</v>
      </c>
      <c r="HP6" s="21">
        <f t="shared" si="1"/>
        <v>46275</v>
      </c>
      <c r="HQ6" s="21">
        <f t="shared" si="1"/>
        <v>46276</v>
      </c>
      <c r="HR6" s="21">
        <f t="shared" si="1"/>
        <v>46277</v>
      </c>
      <c r="HS6" s="22">
        <f t="shared" si="1"/>
        <v>46278</v>
      </c>
      <c r="HT6" s="20">
        <f t="shared" si="1"/>
        <v>46279</v>
      </c>
      <c r="HU6" s="21">
        <f t="shared" si="1"/>
        <v>46280</v>
      </c>
      <c r="HV6" s="21">
        <f t="shared" si="1"/>
        <v>46281</v>
      </c>
      <c r="HW6" s="21">
        <f t="shared" si="1"/>
        <v>46282</v>
      </c>
      <c r="HX6" s="21">
        <f t="shared" si="1"/>
        <v>46283</v>
      </c>
      <c r="HY6" s="21">
        <f t="shared" si="1"/>
        <v>46284</v>
      </c>
      <c r="HZ6" s="22">
        <f t="shared" si="1"/>
        <v>46285</v>
      </c>
      <c r="IA6" s="20">
        <f t="shared" si="1"/>
        <v>46286</v>
      </c>
      <c r="IB6" s="21">
        <f t="shared" si="1"/>
        <v>46287</v>
      </c>
      <c r="IC6" s="21">
        <f t="shared" si="1"/>
        <v>46288</v>
      </c>
      <c r="ID6" s="21">
        <f t="shared" si="1"/>
        <v>46289</v>
      </c>
      <c r="IE6" s="21">
        <f t="shared" si="1"/>
        <v>46290</v>
      </c>
      <c r="IF6" s="21">
        <f t="shared" si="1"/>
        <v>46291</v>
      </c>
      <c r="IG6" s="22">
        <f t="shared" si="1"/>
        <v>46292</v>
      </c>
      <c r="IH6" s="20">
        <f t="shared" si="1"/>
        <v>46293</v>
      </c>
      <c r="II6" s="21">
        <f t="shared" si="1"/>
        <v>46294</v>
      </c>
      <c r="IJ6" s="21">
        <f t="shared" si="1"/>
        <v>46295</v>
      </c>
      <c r="IK6" s="21">
        <f t="shared" si="1"/>
        <v>46296</v>
      </c>
      <c r="IL6" s="21">
        <f t="shared" si="1"/>
        <v>46297</v>
      </c>
      <c r="IM6" s="21">
        <f t="shared" si="1"/>
        <v>46298</v>
      </c>
      <c r="IN6" s="22">
        <f t="shared" si="1"/>
        <v>46299</v>
      </c>
      <c r="IO6" s="20">
        <f t="shared" si="1"/>
        <v>46300</v>
      </c>
      <c r="IP6" s="21">
        <f t="shared" si="1"/>
        <v>46301</v>
      </c>
      <c r="IQ6" s="21">
        <f t="shared" si="1"/>
        <v>46302</v>
      </c>
      <c r="IR6" s="21">
        <f t="shared" si="1"/>
        <v>46303</v>
      </c>
      <c r="IS6" s="21">
        <f t="shared" si="1"/>
        <v>46304</v>
      </c>
      <c r="IT6" s="21">
        <f t="shared" si="1"/>
        <v>46305</v>
      </c>
      <c r="IU6" s="22">
        <f t="shared" si="1"/>
        <v>46306</v>
      </c>
      <c r="IV6" s="20">
        <f t="shared" si="1"/>
        <v>46307</v>
      </c>
      <c r="IW6" s="21">
        <f t="shared" si="1"/>
        <v>46308</v>
      </c>
      <c r="IX6" s="21">
        <f t="shared" si="1"/>
        <v>46309</v>
      </c>
      <c r="IY6" s="21">
        <f t="shared" si="1"/>
        <v>46310</v>
      </c>
      <c r="IZ6" s="21">
        <f t="shared" si="1"/>
        <v>46311</v>
      </c>
      <c r="JA6" s="21">
        <f t="shared" si="1"/>
        <v>46312</v>
      </c>
      <c r="JB6" s="22">
        <f t="shared" si="1"/>
        <v>46313</v>
      </c>
      <c r="JC6" s="20">
        <f t="shared" si="1"/>
        <v>46314</v>
      </c>
      <c r="JD6" s="21">
        <f t="shared" si="1"/>
        <v>46315</v>
      </c>
      <c r="JE6" s="21">
        <f t="shared" si="1"/>
        <v>46316</v>
      </c>
      <c r="JF6" s="21">
        <f t="shared" si="1"/>
        <v>46317</v>
      </c>
      <c r="JG6" s="21">
        <f t="shared" si="1"/>
        <v>46318</v>
      </c>
      <c r="JH6" s="21">
        <f t="shared" si="1"/>
        <v>46319</v>
      </c>
      <c r="JI6" s="22">
        <f t="shared" si="1"/>
        <v>46320</v>
      </c>
      <c r="JJ6" s="20">
        <f t="shared" si="1"/>
        <v>46321</v>
      </c>
      <c r="JK6" s="21">
        <f t="shared" si="1"/>
        <v>46322</v>
      </c>
      <c r="JL6" s="21">
        <f t="shared" si="1"/>
        <v>46323</v>
      </c>
      <c r="JM6" s="21">
        <f t="shared" si="1"/>
        <v>46324</v>
      </c>
      <c r="JN6" s="21">
        <f t="shared" si="1"/>
        <v>46325</v>
      </c>
      <c r="JO6" s="21">
        <f t="shared" si="1"/>
        <v>46326</v>
      </c>
      <c r="JP6" s="22">
        <f t="shared" si="1"/>
        <v>46327</v>
      </c>
      <c r="JQ6" s="20">
        <f t="shared" si="1"/>
        <v>46328</v>
      </c>
      <c r="JR6" s="21">
        <f t="shared" si="1"/>
        <v>46329</v>
      </c>
      <c r="JS6" s="21">
        <f t="shared" si="1"/>
        <v>46330</v>
      </c>
      <c r="JT6" s="21">
        <f t="shared" si="1"/>
        <v>46331</v>
      </c>
      <c r="JU6" s="21">
        <f t="shared" si="1"/>
        <v>46332</v>
      </c>
      <c r="JV6" s="21">
        <f t="shared" si="1"/>
        <v>46333</v>
      </c>
      <c r="JW6" s="22">
        <f t="shared" si="1"/>
        <v>46334</v>
      </c>
      <c r="JX6" s="20">
        <f t="shared" si="1"/>
        <v>46335</v>
      </c>
      <c r="JY6" s="21">
        <f t="shared" si="1"/>
        <v>46336</v>
      </c>
      <c r="JZ6" s="21">
        <f t="shared" si="1"/>
        <v>46337</v>
      </c>
      <c r="KA6" s="21">
        <f t="shared" si="1"/>
        <v>46338</v>
      </c>
      <c r="KB6" s="21">
        <f t="shared" si="1"/>
        <v>46339</v>
      </c>
      <c r="KC6" s="21">
        <f t="shared" si="1"/>
        <v>46340</v>
      </c>
      <c r="KD6" s="22">
        <f t="shared" si="1"/>
        <v>46341</v>
      </c>
      <c r="KE6" s="20">
        <f t="shared" si="1"/>
        <v>46342</v>
      </c>
      <c r="KF6" s="21">
        <f t="shared" si="1"/>
        <v>46343</v>
      </c>
      <c r="KG6" s="21">
        <f t="shared" si="1"/>
        <v>46344</v>
      </c>
      <c r="KH6" s="21">
        <f t="shared" si="1"/>
        <v>46345</v>
      </c>
      <c r="KI6" s="21">
        <f t="shared" si="1"/>
        <v>46346</v>
      </c>
      <c r="KJ6" s="21">
        <f t="shared" si="1"/>
        <v>46347</v>
      </c>
      <c r="KK6" s="22">
        <f t="shared" si="1"/>
        <v>46348</v>
      </c>
      <c r="KL6" s="20">
        <f t="shared" si="1"/>
        <v>46349</v>
      </c>
      <c r="KM6" s="21">
        <f t="shared" si="1"/>
        <v>46350</v>
      </c>
      <c r="KN6" s="21">
        <f t="shared" si="1"/>
        <v>46351</v>
      </c>
      <c r="KO6" s="21">
        <f t="shared" si="1"/>
        <v>46352</v>
      </c>
      <c r="KP6" s="21">
        <f t="shared" si="1"/>
        <v>46353</v>
      </c>
      <c r="KQ6" s="21">
        <f t="shared" si="1"/>
        <v>46354</v>
      </c>
      <c r="KR6" s="22">
        <f t="shared" si="1"/>
        <v>46355</v>
      </c>
      <c r="KS6" s="20">
        <f t="shared" si="1"/>
        <v>46356</v>
      </c>
      <c r="KT6" s="21">
        <f t="shared" si="1"/>
        <v>46357</v>
      </c>
      <c r="KU6" s="21">
        <f t="shared" si="1"/>
        <v>46358</v>
      </c>
      <c r="KV6" s="21">
        <f t="shared" si="1"/>
        <v>46359</v>
      </c>
      <c r="KW6" s="21">
        <f t="shared" si="1"/>
        <v>46360</v>
      </c>
      <c r="KX6" s="21">
        <f t="shared" si="1"/>
        <v>46361</v>
      </c>
      <c r="KY6" s="22">
        <f t="shared" si="1"/>
        <v>46362</v>
      </c>
      <c r="KZ6" s="20">
        <f t="shared" si="1"/>
        <v>46363</v>
      </c>
      <c r="LA6" s="21">
        <f t="shared" si="1"/>
        <v>46364</v>
      </c>
      <c r="LB6" s="21">
        <f t="shared" si="1"/>
        <v>46365</v>
      </c>
      <c r="LC6" s="21">
        <f t="shared" si="1"/>
        <v>46366</v>
      </c>
      <c r="LD6" s="21">
        <f t="shared" si="1"/>
        <v>46367</v>
      </c>
      <c r="LE6" s="21">
        <f t="shared" si="1"/>
        <v>46368</v>
      </c>
      <c r="LF6" s="22">
        <f t="shared" si="1"/>
        <v>46369</v>
      </c>
      <c r="LG6" s="20">
        <f t="shared" si="1"/>
        <v>46370</v>
      </c>
      <c r="LH6" s="21">
        <f t="shared" si="1"/>
        <v>46371</v>
      </c>
      <c r="LI6" s="21">
        <f t="shared" si="1"/>
        <v>46372</v>
      </c>
      <c r="LJ6" s="21">
        <f t="shared" si="1"/>
        <v>46373</v>
      </c>
      <c r="LK6" s="21">
        <f t="shared" si="1"/>
        <v>46374</v>
      </c>
      <c r="LL6" s="21">
        <f t="shared" si="1"/>
        <v>46375</v>
      </c>
      <c r="LM6" s="22">
        <f t="shared" si="1"/>
        <v>46376</v>
      </c>
      <c r="LN6" s="20">
        <f t="shared" si="1"/>
        <v>46377</v>
      </c>
      <c r="LO6" s="21">
        <f t="shared" si="1"/>
        <v>46378</v>
      </c>
      <c r="LP6" s="21">
        <f t="shared" si="1"/>
        <v>46379</v>
      </c>
      <c r="LQ6" s="21">
        <f t="shared" si="1"/>
        <v>46380</v>
      </c>
      <c r="LR6" s="21">
        <f t="shared" si="1"/>
        <v>46381</v>
      </c>
      <c r="LS6" s="21">
        <f t="shared" si="1"/>
        <v>46382</v>
      </c>
      <c r="LT6" s="22">
        <f t="shared" si="1"/>
        <v>46383</v>
      </c>
      <c r="LU6" s="20">
        <f t="shared" si="1"/>
        <v>46384</v>
      </c>
      <c r="LV6" s="21">
        <f t="shared" si="1"/>
        <v>46385</v>
      </c>
      <c r="LW6" s="21">
        <f t="shared" si="1"/>
        <v>46386</v>
      </c>
      <c r="LX6" s="21">
        <f t="shared" si="1"/>
        <v>46387</v>
      </c>
      <c r="LY6" s="21">
        <f t="shared" si="1"/>
        <v>46388</v>
      </c>
      <c r="LZ6" s="21">
        <f t="shared" si="1"/>
        <v>46389</v>
      </c>
      <c r="MA6" s="22">
        <f t="shared" si="1"/>
        <v>46390</v>
      </c>
      <c r="MB6" s="20">
        <f t="shared" si="1"/>
        <v>46391</v>
      </c>
      <c r="MC6" s="21">
        <f t="shared" si="1"/>
        <v>46392</v>
      </c>
      <c r="MD6" s="21">
        <f t="shared" si="1"/>
        <v>46393</v>
      </c>
      <c r="ME6" s="21">
        <f t="shared" si="1"/>
        <v>46394</v>
      </c>
      <c r="MF6" s="21">
        <f t="shared" si="1"/>
        <v>46395</v>
      </c>
      <c r="MG6" s="21">
        <f t="shared" si="1"/>
        <v>46396</v>
      </c>
      <c r="MH6" s="22">
        <f t="shared" si="1"/>
        <v>46397</v>
      </c>
      <c r="MI6" s="20">
        <f t="shared" si="1"/>
        <v>46398</v>
      </c>
      <c r="MJ6" s="21">
        <f t="shared" si="1"/>
        <v>46399</v>
      </c>
      <c r="MK6" s="21">
        <f t="shared" si="1"/>
        <v>46400</v>
      </c>
      <c r="ML6" s="21">
        <f t="shared" si="1"/>
        <v>46401</v>
      </c>
      <c r="MM6" s="21">
        <f t="shared" si="1"/>
        <v>46402</v>
      </c>
      <c r="MN6" s="21">
        <f t="shared" si="1"/>
        <v>46403</v>
      </c>
      <c r="MO6" s="22">
        <f t="shared" si="1"/>
        <v>46404</v>
      </c>
      <c r="MP6" s="20">
        <f t="shared" si="1"/>
        <v>46405</v>
      </c>
      <c r="MQ6" s="21">
        <f t="shared" si="1"/>
        <v>46406</v>
      </c>
      <c r="MR6" s="21">
        <f t="shared" si="1"/>
        <v>46407</v>
      </c>
      <c r="MS6" s="21">
        <f t="shared" si="1"/>
        <v>46408</v>
      </c>
      <c r="MT6" s="21">
        <f t="shared" si="1"/>
        <v>46409</v>
      </c>
      <c r="MU6" s="21">
        <f t="shared" si="1"/>
        <v>46410</v>
      </c>
      <c r="MV6" s="22">
        <f t="shared" si="1"/>
        <v>46411</v>
      </c>
      <c r="MW6" s="20">
        <f t="shared" si="1"/>
        <v>46412</v>
      </c>
      <c r="MX6" s="21">
        <f t="shared" si="1"/>
        <v>46413</v>
      </c>
      <c r="MY6" s="21">
        <f t="shared" si="1"/>
        <v>46414</v>
      </c>
      <c r="MZ6" s="21">
        <f t="shared" si="1"/>
        <v>46415</v>
      </c>
      <c r="NA6" s="21">
        <f t="shared" si="1"/>
        <v>46416</v>
      </c>
      <c r="NB6" s="21">
        <f t="shared" si="1"/>
        <v>46417</v>
      </c>
      <c r="NC6" s="22">
        <f t="shared" si="1"/>
        <v>46418</v>
      </c>
      <c r="ND6" s="20">
        <f t="shared" si="1"/>
        <v>46419</v>
      </c>
      <c r="NE6" s="21">
        <f t="shared" si="1"/>
        <v>46420</v>
      </c>
      <c r="NF6" s="21">
        <f t="shared" si="1"/>
        <v>46421</v>
      </c>
      <c r="NG6" s="21">
        <f t="shared" si="1"/>
        <v>46422</v>
      </c>
      <c r="NH6" s="21">
        <f t="shared" si="1"/>
        <v>46423</v>
      </c>
      <c r="NI6" s="21">
        <f t="shared" si="1"/>
        <v>46424</v>
      </c>
      <c r="NJ6" s="22">
        <f t="shared" si="1"/>
        <v>46425</v>
      </c>
      <c r="NK6" s="20">
        <f t="shared" si="1"/>
        <v>46426</v>
      </c>
      <c r="NL6" s="21">
        <f t="shared" si="1"/>
        <v>46427</v>
      </c>
      <c r="NM6" s="21">
        <f t="shared" si="1"/>
        <v>46428</v>
      </c>
      <c r="NN6" s="21">
        <f t="shared" si="1"/>
        <v>46429</v>
      </c>
      <c r="NO6" s="21">
        <f t="shared" si="1"/>
        <v>46430</v>
      </c>
      <c r="NP6" s="21">
        <f t="shared" si="1"/>
        <v>46431</v>
      </c>
      <c r="NQ6" s="22">
        <f t="shared" si="1"/>
        <v>46432</v>
      </c>
    </row>
    <row r="7" ht="12.0" customHeight="1">
      <c r="A7" s="23" t="s">
        <v>5</v>
      </c>
      <c r="B7" s="23" t="s">
        <v>6</v>
      </c>
      <c r="C7" s="24" t="s">
        <v>7</v>
      </c>
      <c r="D7" s="25" t="s">
        <v>8</v>
      </c>
      <c r="E7" s="26" t="s">
        <v>9</v>
      </c>
      <c r="F7" s="26" t="s">
        <v>10</v>
      </c>
      <c r="G7" s="24" t="s">
        <v>11</v>
      </c>
      <c r="H7" s="24" t="s">
        <v>12</v>
      </c>
      <c r="I7" s="24" t="s">
        <v>13</v>
      </c>
      <c r="J7" s="24"/>
      <c r="K7" s="27" t="str">
        <f t="shared" ref="K7:NQ7" si="2">CHOOSE(WEEKDAY(K6,1),"S","M","T","W","T","F","S")</f>
        <v>M</v>
      </c>
      <c r="L7" s="28" t="str">
        <f t="shared" si="2"/>
        <v>T</v>
      </c>
      <c r="M7" s="28" t="str">
        <f t="shared" si="2"/>
        <v>W</v>
      </c>
      <c r="N7" s="28" t="str">
        <f t="shared" si="2"/>
        <v>T</v>
      </c>
      <c r="O7" s="28" t="str">
        <f t="shared" si="2"/>
        <v>F</v>
      </c>
      <c r="P7" s="28" t="str">
        <f t="shared" si="2"/>
        <v>S</v>
      </c>
      <c r="Q7" s="29" t="str">
        <f t="shared" si="2"/>
        <v>S</v>
      </c>
      <c r="R7" s="27" t="str">
        <f t="shared" si="2"/>
        <v>M</v>
      </c>
      <c r="S7" s="28" t="str">
        <f t="shared" si="2"/>
        <v>T</v>
      </c>
      <c r="T7" s="28" t="str">
        <f t="shared" si="2"/>
        <v>W</v>
      </c>
      <c r="U7" s="28" t="str">
        <f t="shared" si="2"/>
        <v>T</v>
      </c>
      <c r="V7" s="28" t="str">
        <f t="shared" si="2"/>
        <v>F</v>
      </c>
      <c r="W7" s="28" t="str">
        <f t="shared" si="2"/>
        <v>S</v>
      </c>
      <c r="X7" s="29" t="str">
        <f t="shared" si="2"/>
        <v>S</v>
      </c>
      <c r="Y7" s="27" t="str">
        <f t="shared" si="2"/>
        <v>M</v>
      </c>
      <c r="Z7" s="28" t="str">
        <f t="shared" si="2"/>
        <v>T</v>
      </c>
      <c r="AA7" s="28" t="str">
        <f t="shared" si="2"/>
        <v>W</v>
      </c>
      <c r="AB7" s="28" t="str">
        <f t="shared" si="2"/>
        <v>T</v>
      </c>
      <c r="AC7" s="28" t="str">
        <f t="shared" si="2"/>
        <v>F</v>
      </c>
      <c r="AD7" s="28" t="str">
        <f t="shared" si="2"/>
        <v>S</v>
      </c>
      <c r="AE7" s="29" t="str">
        <f t="shared" si="2"/>
        <v>S</v>
      </c>
      <c r="AF7" s="27" t="str">
        <f t="shared" si="2"/>
        <v>M</v>
      </c>
      <c r="AG7" s="28" t="str">
        <f t="shared" si="2"/>
        <v>T</v>
      </c>
      <c r="AH7" s="28" t="str">
        <f t="shared" si="2"/>
        <v>W</v>
      </c>
      <c r="AI7" s="28" t="str">
        <f t="shared" si="2"/>
        <v>T</v>
      </c>
      <c r="AJ7" s="28" t="str">
        <f t="shared" si="2"/>
        <v>F</v>
      </c>
      <c r="AK7" s="28" t="str">
        <f t="shared" si="2"/>
        <v>S</v>
      </c>
      <c r="AL7" s="29" t="str">
        <f t="shared" si="2"/>
        <v>S</v>
      </c>
      <c r="AM7" s="27" t="str">
        <f t="shared" si="2"/>
        <v>M</v>
      </c>
      <c r="AN7" s="28" t="str">
        <f t="shared" si="2"/>
        <v>T</v>
      </c>
      <c r="AO7" s="28" t="str">
        <f t="shared" si="2"/>
        <v>W</v>
      </c>
      <c r="AP7" s="28" t="str">
        <f t="shared" si="2"/>
        <v>T</v>
      </c>
      <c r="AQ7" s="28" t="str">
        <f t="shared" si="2"/>
        <v>F</v>
      </c>
      <c r="AR7" s="28" t="str">
        <f t="shared" si="2"/>
        <v>S</v>
      </c>
      <c r="AS7" s="29" t="str">
        <f t="shared" si="2"/>
        <v>S</v>
      </c>
      <c r="AT7" s="27" t="str">
        <f t="shared" si="2"/>
        <v>M</v>
      </c>
      <c r="AU7" s="28" t="str">
        <f t="shared" si="2"/>
        <v>T</v>
      </c>
      <c r="AV7" s="28" t="str">
        <f t="shared" si="2"/>
        <v>W</v>
      </c>
      <c r="AW7" s="28" t="str">
        <f t="shared" si="2"/>
        <v>T</v>
      </c>
      <c r="AX7" s="28" t="str">
        <f t="shared" si="2"/>
        <v>F</v>
      </c>
      <c r="AY7" s="28" t="str">
        <f t="shared" si="2"/>
        <v>S</v>
      </c>
      <c r="AZ7" s="29" t="str">
        <f t="shared" si="2"/>
        <v>S</v>
      </c>
      <c r="BA7" s="27" t="str">
        <f t="shared" si="2"/>
        <v>M</v>
      </c>
      <c r="BB7" s="28" t="str">
        <f t="shared" si="2"/>
        <v>T</v>
      </c>
      <c r="BC7" s="28" t="str">
        <f t="shared" si="2"/>
        <v>W</v>
      </c>
      <c r="BD7" s="28" t="str">
        <f t="shared" si="2"/>
        <v>T</v>
      </c>
      <c r="BE7" s="28" t="str">
        <f t="shared" si="2"/>
        <v>F</v>
      </c>
      <c r="BF7" s="28" t="str">
        <f t="shared" si="2"/>
        <v>S</v>
      </c>
      <c r="BG7" s="29" t="str">
        <f t="shared" si="2"/>
        <v>S</v>
      </c>
      <c r="BH7" s="27" t="str">
        <f t="shared" si="2"/>
        <v>M</v>
      </c>
      <c r="BI7" s="28" t="str">
        <f t="shared" si="2"/>
        <v>T</v>
      </c>
      <c r="BJ7" s="28" t="str">
        <f t="shared" si="2"/>
        <v>W</v>
      </c>
      <c r="BK7" s="28" t="str">
        <f t="shared" si="2"/>
        <v>T</v>
      </c>
      <c r="BL7" s="28" t="str">
        <f t="shared" si="2"/>
        <v>F</v>
      </c>
      <c r="BM7" s="28" t="str">
        <f t="shared" si="2"/>
        <v>S</v>
      </c>
      <c r="BN7" s="29" t="str">
        <f t="shared" si="2"/>
        <v>S</v>
      </c>
      <c r="BO7" s="27" t="str">
        <f t="shared" si="2"/>
        <v>M</v>
      </c>
      <c r="BP7" s="28" t="str">
        <f t="shared" si="2"/>
        <v>T</v>
      </c>
      <c r="BQ7" s="28" t="str">
        <f t="shared" si="2"/>
        <v>W</v>
      </c>
      <c r="BR7" s="28" t="str">
        <f t="shared" si="2"/>
        <v>T</v>
      </c>
      <c r="BS7" s="28" t="str">
        <f t="shared" si="2"/>
        <v>F</v>
      </c>
      <c r="BT7" s="28" t="str">
        <f t="shared" si="2"/>
        <v>S</v>
      </c>
      <c r="BU7" s="29" t="str">
        <f t="shared" si="2"/>
        <v>S</v>
      </c>
      <c r="BV7" s="27" t="str">
        <f t="shared" si="2"/>
        <v>M</v>
      </c>
      <c r="BW7" s="28" t="str">
        <f t="shared" si="2"/>
        <v>T</v>
      </c>
      <c r="BX7" s="28" t="str">
        <f t="shared" si="2"/>
        <v>W</v>
      </c>
      <c r="BY7" s="28" t="str">
        <f t="shared" si="2"/>
        <v>T</v>
      </c>
      <c r="BZ7" s="28" t="str">
        <f t="shared" si="2"/>
        <v>F</v>
      </c>
      <c r="CA7" s="28" t="str">
        <f t="shared" si="2"/>
        <v>S</v>
      </c>
      <c r="CB7" s="29" t="str">
        <f t="shared" si="2"/>
        <v>S</v>
      </c>
      <c r="CC7" s="27" t="str">
        <f t="shared" si="2"/>
        <v>M</v>
      </c>
      <c r="CD7" s="28" t="str">
        <f t="shared" si="2"/>
        <v>T</v>
      </c>
      <c r="CE7" s="28" t="str">
        <f t="shared" si="2"/>
        <v>W</v>
      </c>
      <c r="CF7" s="28" t="str">
        <f t="shared" si="2"/>
        <v>T</v>
      </c>
      <c r="CG7" s="28" t="str">
        <f t="shared" si="2"/>
        <v>F</v>
      </c>
      <c r="CH7" s="28" t="str">
        <f t="shared" si="2"/>
        <v>S</v>
      </c>
      <c r="CI7" s="29" t="str">
        <f t="shared" si="2"/>
        <v>S</v>
      </c>
      <c r="CJ7" s="27" t="str">
        <f t="shared" si="2"/>
        <v>M</v>
      </c>
      <c r="CK7" s="28" t="str">
        <f t="shared" si="2"/>
        <v>T</v>
      </c>
      <c r="CL7" s="28" t="str">
        <f t="shared" si="2"/>
        <v>W</v>
      </c>
      <c r="CM7" s="28" t="str">
        <f t="shared" si="2"/>
        <v>T</v>
      </c>
      <c r="CN7" s="28" t="str">
        <f t="shared" si="2"/>
        <v>F</v>
      </c>
      <c r="CO7" s="28" t="str">
        <f t="shared" si="2"/>
        <v>S</v>
      </c>
      <c r="CP7" s="29" t="str">
        <f t="shared" si="2"/>
        <v>S</v>
      </c>
      <c r="CQ7" s="27" t="str">
        <f t="shared" si="2"/>
        <v>M</v>
      </c>
      <c r="CR7" s="28" t="str">
        <f t="shared" si="2"/>
        <v>T</v>
      </c>
      <c r="CS7" s="28" t="str">
        <f t="shared" si="2"/>
        <v>W</v>
      </c>
      <c r="CT7" s="28" t="str">
        <f t="shared" si="2"/>
        <v>T</v>
      </c>
      <c r="CU7" s="28" t="str">
        <f t="shared" si="2"/>
        <v>F</v>
      </c>
      <c r="CV7" s="28" t="str">
        <f t="shared" si="2"/>
        <v>S</v>
      </c>
      <c r="CW7" s="29" t="str">
        <f t="shared" si="2"/>
        <v>S</v>
      </c>
      <c r="CX7" s="27" t="str">
        <f t="shared" si="2"/>
        <v>M</v>
      </c>
      <c r="CY7" s="28" t="str">
        <f t="shared" si="2"/>
        <v>T</v>
      </c>
      <c r="CZ7" s="28" t="str">
        <f t="shared" si="2"/>
        <v>W</v>
      </c>
      <c r="DA7" s="28" t="str">
        <f t="shared" si="2"/>
        <v>T</v>
      </c>
      <c r="DB7" s="28" t="str">
        <f t="shared" si="2"/>
        <v>F</v>
      </c>
      <c r="DC7" s="28" t="str">
        <f t="shared" si="2"/>
        <v>S</v>
      </c>
      <c r="DD7" s="29" t="str">
        <f t="shared" si="2"/>
        <v>S</v>
      </c>
      <c r="DE7" s="27" t="str">
        <f t="shared" si="2"/>
        <v>M</v>
      </c>
      <c r="DF7" s="28" t="str">
        <f t="shared" si="2"/>
        <v>T</v>
      </c>
      <c r="DG7" s="28" t="str">
        <f t="shared" si="2"/>
        <v>W</v>
      </c>
      <c r="DH7" s="28" t="str">
        <f t="shared" si="2"/>
        <v>T</v>
      </c>
      <c r="DI7" s="28" t="str">
        <f t="shared" si="2"/>
        <v>F</v>
      </c>
      <c r="DJ7" s="28" t="str">
        <f t="shared" si="2"/>
        <v>S</v>
      </c>
      <c r="DK7" s="29" t="str">
        <f t="shared" si="2"/>
        <v>S</v>
      </c>
      <c r="DL7" s="27" t="str">
        <f t="shared" si="2"/>
        <v>M</v>
      </c>
      <c r="DM7" s="28" t="str">
        <f t="shared" si="2"/>
        <v>T</v>
      </c>
      <c r="DN7" s="28" t="str">
        <f t="shared" si="2"/>
        <v>W</v>
      </c>
      <c r="DO7" s="28" t="str">
        <f t="shared" si="2"/>
        <v>T</v>
      </c>
      <c r="DP7" s="28" t="str">
        <f t="shared" si="2"/>
        <v>F</v>
      </c>
      <c r="DQ7" s="28" t="str">
        <f t="shared" si="2"/>
        <v>S</v>
      </c>
      <c r="DR7" s="29" t="str">
        <f t="shared" si="2"/>
        <v>S</v>
      </c>
      <c r="DS7" s="27" t="str">
        <f t="shared" si="2"/>
        <v>M</v>
      </c>
      <c r="DT7" s="28" t="str">
        <f t="shared" si="2"/>
        <v>T</v>
      </c>
      <c r="DU7" s="28" t="str">
        <f t="shared" si="2"/>
        <v>W</v>
      </c>
      <c r="DV7" s="28" t="str">
        <f t="shared" si="2"/>
        <v>T</v>
      </c>
      <c r="DW7" s="28" t="str">
        <f t="shared" si="2"/>
        <v>F</v>
      </c>
      <c r="DX7" s="28" t="str">
        <f t="shared" si="2"/>
        <v>S</v>
      </c>
      <c r="DY7" s="29" t="str">
        <f t="shared" si="2"/>
        <v>S</v>
      </c>
      <c r="DZ7" s="27" t="str">
        <f t="shared" si="2"/>
        <v>M</v>
      </c>
      <c r="EA7" s="28" t="str">
        <f t="shared" si="2"/>
        <v>T</v>
      </c>
      <c r="EB7" s="28" t="str">
        <f t="shared" si="2"/>
        <v>W</v>
      </c>
      <c r="EC7" s="28" t="str">
        <f t="shared" si="2"/>
        <v>T</v>
      </c>
      <c r="ED7" s="28" t="str">
        <f t="shared" si="2"/>
        <v>F</v>
      </c>
      <c r="EE7" s="28" t="str">
        <f t="shared" si="2"/>
        <v>S</v>
      </c>
      <c r="EF7" s="29" t="str">
        <f t="shared" si="2"/>
        <v>S</v>
      </c>
      <c r="EG7" s="27" t="str">
        <f t="shared" si="2"/>
        <v>M</v>
      </c>
      <c r="EH7" s="28" t="str">
        <f t="shared" si="2"/>
        <v>T</v>
      </c>
      <c r="EI7" s="28" t="str">
        <f t="shared" si="2"/>
        <v>W</v>
      </c>
      <c r="EJ7" s="28" t="str">
        <f t="shared" si="2"/>
        <v>T</v>
      </c>
      <c r="EK7" s="28" t="str">
        <f t="shared" si="2"/>
        <v>F</v>
      </c>
      <c r="EL7" s="28" t="str">
        <f t="shared" si="2"/>
        <v>S</v>
      </c>
      <c r="EM7" s="29" t="str">
        <f t="shared" si="2"/>
        <v>S</v>
      </c>
      <c r="EN7" s="27" t="str">
        <f t="shared" si="2"/>
        <v>M</v>
      </c>
      <c r="EO7" s="28" t="str">
        <f t="shared" si="2"/>
        <v>T</v>
      </c>
      <c r="EP7" s="28" t="str">
        <f t="shared" si="2"/>
        <v>W</v>
      </c>
      <c r="EQ7" s="28" t="str">
        <f t="shared" si="2"/>
        <v>T</v>
      </c>
      <c r="ER7" s="28" t="str">
        <f t="shared" si="2"/>
        <v>F</v>
      </c>
      <c r="ES7" s="28" t="str">
        <f t="shared" si="2"/>
        <v>S</v>
      </c>
      <c r="ET7" s="29" t="str">
        <f t="shared" si="2"/>
        <v>S</v>
      </c>
      <c r="EU7" s="27" t="str">
        <f t="shared" si="2"/>
        <v>M</v>
      </c>
      <c r="EV7" s="28" t="str">
        <f t="shared" si="2"/>
        <v>T</v>
      </c>
      <c r="EW7" s="28" t="str">
        <f t="shared" si="2"/>
        <v>W</v>
      </c>
      <c r="EX7" s="28" t="str">
        <f t="shared" si="2"/>
        <v>T</v>
      </c>
      <c r="EY7" s="28" t="str">
        <f t="shared" si="2"/>
        <v>F</v>
      </c>
      <c r="EZ7" s="28" t="str">
        <f t="shared" si="2"/>
        <v>S</v>
      </c>
      <c r="FA7" s="29" t="str">
        <f t="shared" si="2"/>
        <v>S</v>
      </c>
      <c r="FB7" s="27" t="str">
        <f t="shared" si="2"/>
        <v>M</v>
      </c>
      <c r="FC7" s="28" t="str">
        <f t="shared" si="2"/>
        <v>T</v>
      </c>
      <c r="FD7" s="28" t="str">
        <f t="shared" si="2"/>
        <v>W</v>
      </c>
      <c r="FE7" s="28" t="str">
        <f t="shared" si="2"/>
        <v>T</v>
      </c>
      <c r="FF7" s="28" t="str">
        <f t="shared" si="2"/>
        <v>F</v>
      </c>
      <c r="FG7" s="28" t="str">
        <f t="shared" si="2"/>
        <v>S</v>
      </c>
      <c r="FH7" s="29" t="str">
        <f t="shared" si="2"/>
        <v>S</v>
      </c>
      <c r="FI7" s="27" t="str">
        <f t="shared" si="2"/>
        <v>M</v>
      </c>
      <c r="FJ7" s="28" t="str">
        <f t="shared" si="2"/>
        <v>T</v>
      </c>
      <c r="FK7" s="28" t="str">
        <f t="shared" si="2"/>
        <v>W</v>
      </c>
      <c r="FL7" s="28" t="str">
        <f t="shared" si="2"/>
        <v>T</v>
      </c>
      <c r="FM7" s="28" t="str">
        <f t="shared" si="2"/>
        <v>F</v>
      </c>
      <c r="FN7" s="28" t="str">
        <f t="shared" si="2"/>
        <v>S</v>
      </c>
      <c r="FO7" s="29" t="str">
        <f t="shared" si="2"/>
        <v>S</v>
      </c>
      <c r="FP7" s="27" t="str">
        <f t="shared" si="2"/>
        <v>M</v>
      </c>
      <c r="FQ7" s="28" t="str">
        <f t="shared" si="2"/>
        <v>T</v>
      </c>
      <c r="FR7" s="28" t="str">
        <f t="shared" si="2"/>
        <v>W</v>
      </c>
      <c r="FS7" s="28" t="str">
        <f t="shared" si="2"/>
        <v>T</v>
      </c>
      <c r="FT7" s="28" t="str">
        <f t="shared" si="2"/>
        <v>F</v>
      </c>
      <c r="FU7" s="28" t="str">
        <f t="shared" si="2"/>
        <v>S</v>
      </c>
      <c r="FV7" s="29" t="str">
        <f t="shared" si="2"/>
        <v>S</v>
      </c>
      <c r="FW7" s="27" t="str">
        <f t="shared" si="2"/>
        <v>M</v>
      </c>
      <c r="FX7" s="28" t="str">
        <f t="shared" si="2"/>
        <v>T</v>
      </c>
      <c r="FY7" s="28" t="str">
        <f t="shared" si="2"/>
        <v>W</v>
      </c>
      <c r="FZ7" s="28" t="str">
        <f t="shared" si="2"/>
        <v>T</v>
      </c>
      <c r="GA7" s="28" t="str">
        <f t="shared" si="2"/>
        <v>F</v>
      </c>
      <c r="GB7" s="28" t="str">
        <f t="shared" si="2"/>
        <v>S</v>
      </c>
      <c r="GC7" s="29" t="str">
        <f t="shared" si="2"/>
        <v>S</v>
      </c>
      <c r="GD7" s="27" t="str">
        <f t="shared" si="2"/>
        <v>M</v>
      </c>
      <c r="GE7" s="28" t="str">
        <f t="shared" si="2"/>
        <v>T</v>
      </c>
      <c r="GF7" s="28" t="str">
        <f t="shared" si="2"/>
        <v>W</v>
      </c>
      <c r="GG7" s="28" t="str">
        <f t="shared" si="2"/>
        <v>T</v>
      </c>
      <c r="GH7" s="28" t="str">
        <f t="shared" si="2"/>
        <v>F</v>
      </c>
      <c r="GI7" s="28" t="str">
        <f t="shared" si="2"/>
        <v>S</v>
      </c>
      <c r="GJ7" s="29" t="str">
        <f t="shared" si="2"/>
        <v>S</v>
      </c>
      <c r="GK7" s="27" t="str">
        <f t="shared" si="2"/>
        <v>M</v>
      </c>
      <c r="GL7" s="28" t="str">
        <f t="shared" si="2"/>
        <v>T</v>
      </c>
      <c r="GM7" s="28" t="str">
        <f t="shared" si="2"/>
        <v>W</v>
      </c>
      <c r="GN7" s="28" t="str">
        <f t="shared" si="2"/>
        <v>T</v>
      </c>
      <c r="GO7" s="28" t="str">
        <f t="shared" si="2"/>
        <v>F</v>
      </c>
      <c r="GP7" s="28" t="str">
        <f t="shared" si="2"/>
        <v>S</v>
      </c>
      <c r="GQ7" s="29" t="str">
        <f t="shared" si="2"/>
        <v>S</v>
      </c>
      <c r="GR7" s="27" t="str">
        <f t="shared" si="2"/>
        <v>M</v>
      </c>
      <c r="GS7" s="28" t="str">
        <f t="shared" si="2"/>
        <v>T</v>
      </c>
      <c r="GT7" s="28" t="str">
        <f t="shared" si="2"/>
        <v>W</v>
      </c>
      <c r="GU7" s="28" t="str">
        <f t="shared" si="2"/>
        <v>T</v>
      </c>
      <c r="GV7" s="28" t="str">
        <f t="shared" si="2"/>
        <v>F</v>
      </c>
      <c r="GW7" s="28" t="str">
        <f t="shared" si="2"/>
        <v>S</v>
      </c>
      <c r="GX7" s="29" t="str">
        <f t="shared" si="2"/>
        <v>S</v>
      </c>
      <c r="GY7" s="27" t="str">
        <f t="shared" si="2"/>
        <v>M</v>
      </c>
      <c r="GZ7" s="28" t="str">
        <f t="shared" si="2"/>
        <v>T</v>
      </c>
      <c r="HA7" s="28" t="str">
        <f t="shared" si="2"/>
        <v>W</v>
      </c>
      <c r="HB7" s="28" t="str">
        <f t="shared" si="2"/>
        <v>T</v>
      </c>
      <c r="HC7" s="28" t="str">
        <f t="shared" si="2"/>
        <v>F</v>
      </c>
      <c r="HD7" s="28" t="str">
        <f t="shared" si="2"/>
        <v>S</v>
      </c>
      <c r="HE7" s="29" t="str">
        <f t="shared" si="2"/>
        <v>S</v>
      </c>
      <c r="HF7" s="27" t="str">
        <f t="shared" si="2"/>
        <v>M</v>
      </c>
      <c r="HG7" s="28" t="str">
        <f t="shared" si="2"/>
        <v>T</v>
      </c>
      <c r="HH7" s="28" t="str">
        <f t="shared" si="2"/>
        <v>W</v>
      </c>
      <c r="HI7" s="28" t="str">
        <f t="shared" si="2"/>
        <v>T</v>
      </c>
      <c r="HJ7" s="28" t="str">
        <f t="shared" si="2"/>
        <v>F</v>
      </c>
      <c r="HK7" s="28" t="str">
        <f t="shared" si="2"/>
        <v>S</v>
      </c>
      <c r="HL7" s="29" t="str">
        <f t="shared" si="2"/>
        <v>S</v>
      </c>
      <c r="HM7" s="27" t="str">
        <f t="shared" si="2"/>
        <v>M</v>
      </c>
      <c r="HN7" s="28" t="str">
        <f t="shared" si="2"/>
        <v>T</v>
      </c>
      <c r="HO7" s="28" t="str">
        <f t="shared" si="2"/>
        <v>W</v>
      </c>
      <c r="HP7" s="28" t="str">
        <f t="shared" si="2"/>
        <v>T</v>
      </c>
      <c r="HQ7" s="28" t="str">
        <f t="shared" si="2"/>
        <v>F</v>
      </c>
      <c r="HR7" s="28" t="str">
        <f t="shared" si="2"/>
        <v>S</v>
      </c>
      <c r="HS7" s="29" t="str">
        <f t="shared" si="2"/>
        <v>S</v>
      </c>
      <c r="HT7" s="27" t="str">
        <f t="shared" si="2"/>
        <v>M</v>
      </c>
      <c r="HU7" s="28" t="str">
        <f t="shared" si="2"/>
        <v>T</v>
      </c>
      <c r="HV7" s="28" t="str">
        <f t="shared" si="2"/>
        <v>W</v>
      </c>
      <c r="HW7" s="28" t="str">
        <f t="shared" si="2"/>
        <v>T</v>
      </c>
      <c r="HX7" s="28" t="str">
        <f t="shared" si="2"/>
        <v>F</v>
      </c>
      <c r="HY7" s="28" t="str">
        <f t="shared" si="2"/>
        <v>S</v>
      </c>
      <c r="HZ7" s="29" t="str">
        <f t="shared" si="2"/>
        <v>S</v>
      </c>
      <c r="IA7" s="27" t="str">
        <f t="shared" si="2"/>
        <v>M</v>
      </c>
      <c r="IB7" s="28" t="str">
        <f t="shared" si="2"/>
        <v>T</v>
      </c>
      <c r="IC7" s="28" t="str">
        <f t="shared" si="2"/>
        <v>W</v>
      </c>
      <c r="ID7" s="28" t="str">
        <f t="shared" si="2"/>
        <v>T</v>
      </c>
      <c r="IE7" s="28" t="str">
        <f t="shared" si="2"/>
        <v>F</v>
      </c>
      <c r="IF7" s="28" t="str">
        <f t="shared" si="2"/>
        <v>S</v>
      </c>
      <c r="IG7" s="29" t="str">
        <f t="shared" si="2"/>
        <v>S</v>
      </c>
      <c r="IH7" s="27" t="str">
        <f t="shared" si="2"/>
        <v>M</v>
      </c>
      <c r="II7" s="28" t="str">
        <f t="shared" si="2"/>
        <v>T</v>
      </c>
      <c r="IJ7" s="28" t="str">
        <f t="shared" si="2"/>
        <v>W</v>
      </c>
      <c r="IK7" s="28" t="str">
        <f t="shared" si="2"/>
        <v>T</v>
      </c>
      <c r="IL7" s="28" t="str">
        <f t="shared" si="2"/>
        <v>F</v>
      </c>
      <c r="IM7" s="28" t="str">
        <f t="shared" si="2"/>
        <v>S</v>
      </c>
      <c r="IN7" s="29" t="str">
        <f t="shared" si="2"/>
        <v>S</v>
      </c>
      <c r="IO7" s="27" t="str">
        <f t="shared" si="2"/>
        <v>M</v>
      </c>
      <c r="IP7" s="28" t="str">
        <f t="shared" si="2"/>
        <v>T</v>
      </c>
      <c r="IQ7" s="28" t="str">
        <f t="shared" si="2"/>
        <v>W</v>
      </c>
      <c r="IR7" s="28" t="str">
        <f t="shared" si="2"/>
        <v>T</v>
      </c>
      <c r="IS7" s="28" t="str">
        <f t="shared" si="2"/>
        <v>F</v>
      </c>
      <c r="IT7" s="28" t="str">
        <f t="shared" si="2"/>
        <v>S</v>
      </c>
      <c r="IU7" s="29" t="str">
        <f t="shared" si="2"/>
        <v>S</v>
      </c>
      <c r="IV7" s="27" t="str">
        <f t="shared" si="2"/>
        <v>M</v>
      </c>
      <c r="IW7" s="28" t="str">
        <f t="shared" si="2"/>
        <v>T</v>
      </c>
      <c r="IX7" s="28" t="str">
        <f t="shared" si="2"/>
        <v>W</v>
      </c>
      <c r="IY7" s="28" t="str">
        <f t="shared" si="2"/>
        <v>T</v>
      </c>
      <c r="IZ7" s="28" t="str">
        <f t="shared" si="2"/>
        <v>F</v>
      </c>
      <c r="JA7" s="28" t="str">
        <f t="shared" si="2"/>
        <v>S</v>
      </c>
      <c r="JB7" s="29" t="str">
        <f t="shared" si="2"/>
        <v>S</v>
      </c>
      <c r="JC7" s="27" t="str">
        <f t="shared" si="2"/>
        <v>M</v>
      </c>
      <c r="JD7" s="28" t="str">
        <f t="shared" si="2"/>
        <v>T</v>
      </c>
      <c r="JE7" s="28" t="str">
        <f t="shared" si="2"/>
        <v>W</v>
      </c>
      <c r="JF7" s="28" t="str">
        <f t="shared" si="2"/>
        <v>T</v>
      </c>
      <c r="JG7" s="28" t="str">
        <f t="shared" si="2"/>
        <v>F</v>
      </c>
      <c r="JH7" s="28" t="str">
        <f t="shared" si="2"/>
        <v>S</v>
      </c>
      <c r="JI7" s="29" t="str">
        <f t="shared" si="2"/>
        <v>S</v>
      </c>
      <c r="JJ7" s="27" t="str">
        <f t="shared" si="2"/>
        <v>M</v>
      </c>
      <c r="JK7" s="28" t="str">
        <f t="shared" si="2"/>
        <v>T</v>
      </c>
      <c r="JL7" s="28" t="str">
        <f t="shared" si="2"/>
        <v>W</v>
      </c>
      <c r="JM7" s="28" t="str">
        <f t="shared" si="2"/>
        <v>T</v>
      </c>
      <c r="JN7" s="28" t="str">
        <f t="shared" si="2"/>
        <v>F</v>
      </c>
      <c r="JO7" s="28" t="str">
        <f t="shared" si="2"/>
        <v>S</v>
      </c>
      <c r="JP7" s="29" t="str">
        <f t="shared" si="2"/>
        <v>S</v>
      </c>
      <c r="JQ7" s="27" t="str">
        <f t="shared" si="2"/>
        <v>M</v>
      </c>
      <c r="JR7" s="28" t="str">
        <f t="shared" si="2"/>
        <v>T</v>
      </c>
      <c r="JS7" s="28" t="str">
        <f t="shared" si="2"/>
        <v>W</v>
      </c>
      <c r="JT7" s="28" t="str">
        <f t="shared" si="2"/>
        <v>T</v>
      </c>
      <c r="JU7" s="28" t="str">
        <f t="shared" si="2"/>
        <v>F</v>
      </c>
      <c r="JV7" s="28" t="str">
        <f t="shared" si="2"/>
        <v>S</v>
      </c>
      <c r="JW7" s="29" t="str">
        <f t="shared" si="2"/>
        <v>S</v>
      </c>
      <c r="JX7" s="27" t="str">
        <f t="shared" si="2"/>
        <v>M</v>
      </c>
      <c r="JY7" s="28" t="str">
        <f t="shared" si="2"/>
        <v>T</v>
      </c>
      <c r="JZ7" s="28" t="str">
        <f t="shared" si="2"/>
        <v>W</v>
      </c>
      <c r="KA7" s="28" t="str">
        <f t="shared" si="2"/>
        <v>T</v>
      </c>
      <c r="KB7" s="28" t="str">
        <f t="shared" si="2"/>
        <v>F</v>
      </c>
      <c r="KC7" s="28" t="str">
        <f t="shared" si="2"/>
        <v>S</v>
      </c>
      <c r="KD7" s="29" t="str">
        <f t="shared" si="2"/>
        <v>S</v>
      </c>
      <c r="KE7" s="27" t="str">
        <f t="shared" si="2"/>
        <v>M</v>
      </c>
      <c r="KF7" s="28" t="str">
        <f t="shared" si="2"/>
        <v>T</v>
      </c>
      <c r="KG7" s="28" t="str">
        <f t="shared" si="2"/>
        <v>W</v>
      </c>
      <c r="KH7" s="28" t="str">
        <f t="shared" si="2"/>
        <v>T</v>
      </c>
      <c r="KI7" s="28" t="str">
        <f t="shared" si="2"/>
        <v>F</v>
      </c>
      <c r="KJ7" s="28" t="str">
        <f t="shared" si="2"/>
        <v>S</v>
      </c>
      <c r="KK7" s="29" t="str">
        <f t="shared" si="2"/>
        <v>S</v>
      </c>
      <c r="KL7" s="27" t="str">
        <f t="shared" si="2"/>
        <v>M</v>
      </c>
      <c r="KM7" s="28" t="str">
        <f t="shared" si="2"/>
        <v>T</v>
      </c>
      <c r="KN7" s="28" t="str">
        <f t="shared" si="2"/>
        <v>W</v>
      </c>
      <c r="KO7" s="28" t="str">
        <f t="shared" si="2"/>
        <v>T</v>
      </c>
      <c r="KP7" s="28" t="str">
        <f t="shared" si="2"/>
        <v>F</v>
      </c>
      <c r="KQ7" s="28" t="str">
        <f t="shared" si="2"/>
        <v>S</v>
      </c>
      <c r="KR7" s="29" t="str">
        <f t="shared" si="2"/>
        <v>S</v>
      </c>
      <c r="KS7" s="27" t="str">
        <f t="shared" si="2"/>
        <v>M</v>
      </c>
      <c r="KT7" s="28" t="str">
        <f t="shared" si="2"/>
        <v>T</v>
      </c>
      <c r="KU7" s="28" t="str">
        <f t="shared" si="2"/>
        <v>W</v>
      </c>
      <c r="KV7" s="28" t="str">
        <f t="shared" si="2"/>
        <v>T</v>
      </c>
      <c r="KW7" s="28" t="str">
        <f t="shared" si="2"/>
        <v>F</v>
      </c>
      <c r="KX7" s="28" t="str">
        <f t="shared" si="2"/>
        <v>S</v>
      </c>
      <c r="KY7" s="29" t="str">
        <f t="shared" si="2"/>
        <v>S</v>
      </c>
      <c r="KZ7" s="27" t="str">
        <f t="shared" si="2"/>
        <v>M</v>
      </c>
      <c r="LA7" s="28" t="str">
        <f t="shared" si="2"/>
        <v>T</v>
      </c>
      <c r="LB7" s="28" t="str">
        <f t="shared" si="2"/>
        <v>W</v>
      </c>
      <c r="LC7" s="28" t="str">
        <f t="shared" si="2"/>
        <v>T</v>
      </c>
      <c r="LD7" s="28" t="str">
        <f t="shared" si="2"/>
        <v>F</v>
      </c>
      <c r="LE7" s="28" t="str">
        <f t="shared" si="2"/>
        <v>S</v>
      </c>
      <c r="LF7" s="29" t="str">
        <f t="shared" si="2"/>
        <v>S</v>
      </c>
      <c r="LG7" s="27" t="str">
        <f t="shared" si="2"/>
        <v>M</v>
      </c>
      <c r="LH7" s="28" t="str">
        <f t="shared" si="2"/>
        <v>T</v>
      </c>
      <c r="LI7" s="28" t="str">
        <f t="shared" si="2"/>
        <v>W</v>
      </c>
      <c r="LJ7" s="28" t="str">
        <f t="shared" si="2"/>
        <v>T</v>
      </c>
      <c r="LK7" s="28" t="str">
        <f t="shared" si="2"/>
        <v>F</v>
      </c>
      <c r="LL7" s="28" t="str">
        <f t="shared" si="2"/>
        <v>S</v>
      </c>
      <c r="LM7" s="29" t="str">
        <f t="shared" si="2"/>
        <v>S</v>
      </c>
      <c r="LN7" s="27" t="str">
        <f t="shared" si="2"/>
        <v>M</v>
      </c>
      <c r="LO7" s="28" t="str">
        <f t="shared" si="2"/>
        <v>T</v>
      </c>
      <c r="LP7" s="28" t="str">
        <f t="shared" si="2"/>
        <v>W</v>
      </c>
      <c r="LQ7" s="28" t="str">
        <f t="shared" si="2"/>
        <v>T</v>
      </c>
      <c r="LR7" s="28" t="str">
        <f t="shared" si="2"/>
        <v>F</v>
      </c>
      <c r="LS7" s="28" t="str">
        <f t="shared" si="2"/>
        <v>S</v>
      </c>
      <c r="LT7" s="29" t="str">
        <f t="shared" si="2"/>
        <v>S</v>
      </c>
      <c r="LU7" s="27" t="str">
        <f t="shared" si="2"/>
        <v>M</v>
      </c>
      <c r="LV7" s="28" t="str">
        <f t="shared" si="2"/>
        <v>T</v>
      </c>
      <c r="LW7" s="28" t="str">
        <f t="shared" si="2"/>
        <v>W</v>
      </c>
      <c r="LX7" s="28" t="str">
        <f t="shared" si="2"/>
        <v>T</v>
      </c>
      <c r="LY7" s="28" t="str">
        <f t="shared" si="2"/>
        <v>F</v>
      </c>
      <c r="LZ7" s="28" t="str">
        <f t="shared" si="2"/>
        <v>S</v>
      </c>
      <c r="MA7" s="29" t="str">
        <f t="shared" si="2"/>
        <v>S</v>
      </c>
      <c r="MB7" s="27" t="str">
        <f t="shared" si="2"/>
        <v>M</v>
      </c>
      <c r="MC7" s="28" t="str">
        <f t="shared" si="2"/>
        <v>T</v>
      </c>
      <c r="MD7" s="28" t="str">
        <f t="shared" si="2"/>
        <v>W</v>
      </c>
      <c r="ME7" s="28" t="str">
        <f t="shared" si="2"/>
        <v>T</v>
      </c>
      <c r="MF7" s="28" t="str">
        <f t="shared" si="2"/>
        <v>F</v>
      </c>
      <c r="MG7" s="28" t="str">
        <f t="shared" si="2"/>
        <v>S</v>
      </c>
      <c r="MH7" s="29" t="str">
        <f t="shared" si="2"/>
        <v>S</v>
      </c>
      <c r="MI7" s="27" t="str">
        <f t="shared" si="2"/>
        <v>M</v>
      </c>
      <c r="MJ7" s="28" t="str">
        <f t="shared" si="2"/>
        <v>T</v>
      </c>
      <c r="MK7" s="28" t="str">
        <f t="shared" si="2"/>
        <v>W</v>
      </c>
      <c r="ML7" s="28" t="str">
        <f t="shared" si="2"/>
        <v>T</v>
      </c>
      <c r="MM7" s="28" t="str">
        <f t="shared" si="2"/>
        <v>F</v>
      </c>
      <c r="MN7" s="28" t="str">
        <f t="shared" si="2"/>
        <v>S</v>
      </c>
      <c r="MO7" s="29" t="str">
        <f t="shared" si="2"/>
        <v>S</v>
      </c>
      <c r="MP7" s="27" t="str">
        <f t="shared" si="2"/>
        <v>M</v>
      </c>
      <c r="MQ7" s="28" t="str">
        <f t="shared" si="2"/>
        <v>T</v>
      </c>
      <c r="MR7" s="28" t="str">
        <f t="shared" si="2"/>
        <v>W</v>
      </c>
      <c r="MS7" s="28" t="str">
        <f t="shared" si="2"/>
        <v>T</v>
      </c>
      <c r="MT7" s="28" t="str">
        <f t="shared" si="2"/>
        <v>F</v>
      </c>
      <c r="MU7" s="28" t="str">
        <f t="shared" si="2"/>
        <v>S</v>
      </c>
      <c r="MV7" s="29" t="str">
        <f t="shared" si="2"/>
        <v>S</v>
      </c>
      <c r="MW7" s="27" t="str">
        <f t="shared" si="2"/>
        <v>M</v>
      </c>
      <c r="MX7" s="28" t="str">
        <f t="shared" si="2"/>
        <v>T</v>
      </c>
      <c r="MY7" s="28" t="str">
        <f t="shared" si="2"/>
        <v>W</v>
      </c>
      <c r="MZ7" s="28" t="str">
        <f t="shared" si="2"/>
        <v>T</v>
      </c>
      <c r="NA7" s="28" t="str">
        <f t="shared" si="2"/>
        <v>F</v>
      </c>
      <c r="NB7" s="28" t="str">
        <f t="shared" si="2"/>
        <v>S</v>
      </c>
      <c r="NC7" s="29" t="str">
        <f t="shared" si="2"/>
        <v>S</v>
      </c>
      <c r="ND7" s="27" t="str">
        <f t="shared" si="2"/>
        <v>M</v>
      </c>
      <c r="NE7" s="28" t="str">
        <f t="shared" si="2"/>
        <v>T</v>
      </c>
      <c r="NF7" s="28" t="str">
        <f t="shared" si="2"/>
        <v>W</v>
      </c>
      <c r="NG7" s="28" t="str">
        <f t="shared" si="2"/>
        <v>T</v>
      </c>
      <c r="NH7" s="28" t="str">
        <f t="shared" si="2"/>
        <v>F</v>
      </c>
      <c r="NI7" s="28" t="str">
        <f t="shared" si="2"/>
        <v>S</v>
      </c>
      <c r="NJ7" s="29" t="str">
        <f t="shared" si="2"/>
        <v>S</v>
      </c>
      <c r="NK7" s="27" t="str">
        <f t="shared" si="2"/>
        <v>M</v>
      </c>
      <c r="NL7" s="28" t="str">
        <f t="shared" si="2"/>
        <v>T</v>
      </c>
      <c r="NM7" s="28" t="str">
        <f t="shared" si="2"/>
        <v>W</v>
      </c>
      <c r="NN7" s="28" t="str">
        <f t="shared" si="2"/>
        <v>T</v>
      </c>
      <c r="NO7" s="28" t="str">
        <f t="shared" si="2"/>
        <v>F</v>
      </c>
      <c r="NP7" s="28" t="str">
        <f t="shared" si="2"/>
        <v>S</v>
      </c>
      <c r="NQ7" s="29" t="str">
        <f t="shared" si="2"/>
        <v>S</v>
      </c>
    </row>
    <row r="8" ht="12.0" customHeight="1">
      <c r="A8" s="30">
        <v>1.0</v>
      </c>
      <c r="B8" s="31" t="s">
        <v>14</v>
      </c>
      <c r="C8" s="32"/>
      <c r="D8" s="33"/>
      <c r="E8" s="34"/>
      <c r="F8" s="35" t="str">
        <f t="shared" ref="F8:F30" si="3">IF(ISBLANK(E8)," - ",IF(G8=0,E8,E8+G8-1))</f>
        <v> - </v>
      </c>
      <c r="G8" s="36"/>
      <c r="H8" s="37"/>
      <c r="I8" s="36" t="str">
        <f t="shared" ref="I8:I30" si="4">IF(OR(F8=0,E8=0)," - ",NETWORKDAYS(E8,F8))</f>
        <v> - </v>
      </c>
      <c r="J8" s="38"/>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row>
    <row r="9" ht="12.0" customHeight="1">
      <c r="A9" s="41">
        <v>46023.0</v>
      </c>
      <c r="B9" s="42" t="s">
        <v>15</v>
      </c>
      <c r="C9" s="43" t="s">
        <v>16</v>
      </c>
      <c r="D9" s="44"/>
      <c r="E9" s="45">
        <v>46092.0</v>
      </c>
      <c r="F9" s="46">
        <f t="shared" si="3"/>
        <v>46099</v>
      </c>
      <c r="G9" s="47">
        <v>8.0</v>
      </c>
      <c r="H9" s="48">
        <v>1.0</v>
      </c>
      <c r="I9" s="49">
        <f t="shared" si="4"/>
        <v>6</v>
      </c>
      <c r="J9" s="50"/>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3"/>
      <c r="EY9" s="43"/>
      <c r="EZ9" s="43"/>
      <c r="FA9" s="43"/>
      <c r="FB9" s="43"/>
      <c r="FC9" s="43"/>
      <c r="FD9" s="43"/>
      <c r="FE9" s="43"/>
      <c r="FF9" s="43"/>
      <c r="FG9" s="43"/>
      <c r="FH9" s="43"/>
      <c r="FI9" s="43"/>
      <c r="FJ9" s="43"/>
      <c r="FK9" s="43"/>
      <c r="FL9" s="43"/>
      <c r="FM9" s="43"/>
      <c r="FN9" s="43"/>
      <c r="FO9" s="43"/>
      <c r="FP9" s="43"/>
      <c r="FQ9" s="43"/>
      <c r="FR9" s="43"/>
      <c r="FS9" s="43"/>
      <c r="FT9" s="43"/>
      <c r="FU9" s="43"/>
      <c r="FV9" s="43"/>
      <c r="FW9" s="43"/>
      <c r="FX9" s="43"/>
      <c r="FY9" s="43"/>
      <c r="FZ9" s="43"/>
      <c r="GA9" s="43"/>
      <c r="GB9" s="43"/>
      <c r="GC9" s="43"/>
      <c r="GD9" s="43"/>
      <c r="GE9" s="43"/>
      <c r="GF9" s="43"/>
      <c r="GG9" s="43"/>
      <c r="GH9" s="43"/>
      <c r="GI9" s="43"/>
      <c r="GJ9" s="43"/>
      <c r="GK9" s="43"/>
      <c r="GL9" s="43"/>
      <c r="GM9" s="43"/>
      <c r="GN9" s="43"/>
      <c r="GO9" s="43"/>
      <c r="GP9" s="43"/>
      <c r="GQ9" s="43"/>
      <c r="GR9" s="43"/>
      <c r="GS9" s="43"/>
      <c r="GT9" s="43"/>
      <c r="GU9" s="43"/>
      <c r="GV9" s="43"/>
      <c r="GW9" s="43"/>
      <c r="GX9" s="43"/>
      <c r="GY9" s="43"/>
      <c r="GZ9" s="43"/>
      <c r="HA9" s="43"/>
      <c r="HB9" s="43"/>
      <c r="HC9" s="43"/>
      <c r="HD9" s="43"/>
      <c r="HE9" s="43"/>
      <c r="HF9" s="43"/>
      <c r="HG9" s="43"/>
      <c r="HH9" s="43"/>
      <c r="HI9" s="43"/>
      <c r="HJ9" s="43"/>
      <c r="HK9" s="43"/>
      <c r="HL9" s="43"/>
      <c r="HM9" s="43"/>
      <c r="HN9" s="43"/>
      <c r="HO9" s="43"/>
      <c r="HP9" s="43"/>
      <c r="HQ9" s="43"/>
      <c r="HR9" s="43"/>
      <c r="HS9" s="43"/>
      <c r="HT9" s="43"/>
      <c r="HU9" s="43"/>
      <c r="HV9" s="43"/>
      <c r="HW9" s="43"/>
      <c r="HX9" s="43"/>
      <c r="HY9" s="43"/>
      <c r="HZ9" s="43"/>
      <c r="IA9" s="43"/>
      <c r="IB9" s="43"/>
      <c r="IC9" s="43"/>
      <c r="ID9" s="43"/>
      <c r="IE9" s="43"/>
      <c r="IF9" s="43"/>
      <c r="IG9" s="43"/>
      <c r="IH9" s="43"/>
      <c r="II9" s="43"/>
      <c r="IJ9" s="43"/>
      <c r="IK9" s="43"/>
      <c r="IL9" s="43"/>
      <c r="IM9" s="43"/>
      <c r="IN9" s="43"/>
      <c r="IO9" s="43"/>
      <c r="IP9" s="43"/>
      <c r="IQ9" s="43"/>
      <c r="IR9" s="43"/>
      <c r="IS9" s="43"/>
      <c r="IT9" s="43"/>
      <c r="IU9" s="43"/>
      <c r="IV9" s="43"/>
      <c r="IW9" s="43"/>
      <c r="IX9" s="43"/>
      <c r="IY9" s="43"/>
      <c r="IZ9" s="43"/>
      <c r="JA9" s="43"/>
      <c r="JB9" s="43"/>
      <c r="JC9" s="43"/>
      <c r="JD9" s="43"/>
      <c r="JE9" s="43"/>
      <c r="JF9" s="43"/>
      <c r="JG9" s="43"/>
      <c r="JH9" s="43"/>
      <c r="JI9" s="43"/>
      <c r="JJ9" s="43"/>
      <c r="JK9" s="43"/>
      <c r="JL9" s="43"/>
      <c r="JM9" s="43"/>
      <c r="JN9" s="43"/>
      <c r="JO9" s="43"/>
      <c r="JP9" s="43"/>
      <c r="JQ9" s="43"/>
      <c r="JR9" s="43"/>
      <c r="JS9" s="43"/>
      <c r="JT9" s="43"/>
      <c r="JU9" s="43"/>
      <c r="JV9" s="43"/>
      <c r="JW9" s="43"/>
      <c r="JX9" s="43"/>
      <c r="JY9" s="43"/>
      <c r="JZ9" s="43"/>
      <c r="KA9" s="43"/>
      <c r="KB9" s="43"/>
      <c r="KC9" s="43"/>
      <c r="KD9" s="43"/>
      <c r="KE9" s="43"/>
      <c r="KF9" s="43"/>
      <c r="KG9" s="43"/>
      <c r="KH9" s="43"/>
      <c r="KI9" s="43"/>
      <c r="KJ9" s="43"/>
      <c r="KK9" s="43"/>
      <c r="KL9" s="43"/>
      <c r="KM9" s="43"/>
      <c r="KN9" s="43"/>
      <c r="KO9" s="43"/>
      <c r="KP9" s="43"/>
      <c r="KQ9" s="43"/>
      <c r="KR9" s="43"/>
      <c r="KS9" s="43"/>
      <c r="KT9" s="43"/>
      <c r="KU9" s="43"/>
      <c r="KV9" s="43"/>
      <c r="KW9" s="43"/>
      <c r="KX9" s="43"/>
      <c r="KY9" s="43"/>
      <c r="KZ9" s="43"/>
      <c r="LA9" s="43"/>
      <c r="LB9" s="43"/>
      <c r="LC9" s="43"/>
      <c r="LD9" s="43"/>
      <c r="LE9" s="43"/>
      <c r="LF9" s="43"/>
      <c r="LG9" s="43"/>
      <c r="LH9" s="43"/>
      <c r="LI9" s="43"/>
      <c r="LJ9" s="43"/>
      <c r="LK9" s="43"/>
      <c r="LL9" s="43"/>
      <c r="LM9" s="43"/>
      <c r="LN9" s="43"/>
      <c r="LO9" s="43"/>
      <c r="LP9" s="43"/>
      <c r="LQ9" s="43"/>
      <c r="LR9" s="43"/>
      <c r="LS9" s="43"/>
      <c r="LT9" s="43"/>
      <c r="LU9" s="43"/>
      <c r="LV9" s="43"/>
      <c r="LW9" s="43"/>
      <c r="LX9" s="43"/>
      <c r="LY9" s="43"/>
      <c r="LZ9" s="43"/>
      <c r="MA9" s="43"/>
      <c r="MB9" s="43"/>
      <c r="MC9" s="43"/>
      <c r="MD9" s="43"/>
      <c r="ME9" s="43"/>
      <c r="MF9" s="43"/>
      <c r="MG9" s="43"/>
      <c r="MH9" s="43"/>
      <c r="MI9" s="43"/>
      <c r="MJ9" s="43"/>
      <c r="MK9" s="43"/>
      <c r="ML9" s="43"/>
      <c r="MM9" s="43"/>
      <c r="MN9" s="43"/>
      <c r="MO9" s="43"/>
      <c r="MP9" s="43"/>
      <c r="MQ9" s="43"/>
      <c r="MR9" s="43"/>
      <c r="MS9" s="43"/>
      <c r="MT9" s="43"/>
      <c r="MU9" s="43"/>
      <c r="MV9" s="43"/>
      <c r="MW9" s="43"/>
      <c r="MX9" s="43"/>
      <c r="MY9" s="43"/>
      <c r="MZ9" s="43"/>
      <c r="NA9" s="43"/>
      <c r="NB9" s="43"/>
      <c r="NC9" s="43"/>
      <c r="ND9" s="43"/>
      <c r="NE9" s="43"/>
      <c r="NF9" s="43"/>
      <c r="NG9" s="43"/>
      <c r="NH9" s="43"/>
      <c r="NI9" s="43"/>
      <c r="NJ9" s="43"/>
      <c r="NK9" s="43"/>
      <c r="NL9" s="43"/>
      <c r="NM9" s="43"/>
      <c r="NN9" s="43"/>
      <c r="NO9" s="43"/>
      <c r="NP9" s="43"/>
      <c r="NQ9" s="43"/>
    </row>
    <row r="10" ht="12.0" customHeight="1">
      <c r="A10" s="41">
        <v>46054.0</v>
      </c>
      <c r="B10" s="52" t="s">
        <v>17</v>
      </c>
      <c r="C10" s="43" t="s">
        <v>16</v>
      </c>
      <c r="D10" s="44"/>
      <c r="E10" s="45">
        <v>46099.0</v>
      </c>
      <c r="F10" s="46">
        <f t="shared" si="3"/>
        <v>46105</v>
      </c>
      <c r="G10" s="47">
        <v>7.0</v>
      </c>
      <c r="H10" s="48">
        <v>1.0</v>
      </c>
      <c r="I10" s="49">
        <f t="shared" si="4"/>
        <v>5</v>
      </c>
      <c r="J10" s="50"/>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c r="HG10" s="51"/>
      <c r="HH10" s="51"/>
      <c r="HI10" s="51"/>
      <c r="HJ10" s="51"/>
      <c r="HK10" s="51"/>
      <c r="HL10" s="51"/>
      <c r="HM10" s="51"/>
      <c r="HN10" s="51"/>
      <c r="HO10" s="51"/>
      <c r="HP10" s="51"/>
      <c r="HQ10" s="51"/>
      <c r="HR10" s="51"/>
      <c r="HS10" s="51"/>
      <c r="HT10" s="51"/>
      <c r="HU10" s="51"/>
      <c r="HV10" s="51"/>
      <c r="HW10" s="51"/>
      <c r="HX10" s="51"/>
      <c r="HY10" s="51"/>
      <c r="HZ10" s="51"/>
      <c r="IA10" s="51"/>
      <c r="IB10" s="51"/>
      <c r="IC10" s="51"/>
      <c r="ID10" s="51"/>
      <c r="IE10" s="51"/>
      <c r="IF10" s="51"/>
      <c r="IG10" s="51"/>
      <c r="IH10" s="51"/>
      <c r="II10" s="51"/>
      <c r="IJ10" s="51"/>
      <c r="IK10" s="51"/>
      <c r="IL10" s="51"/>
      <c r="IM10" s="51"/>
      <c r="IN10" s="51"/>
      <c r="IO10" s="51"/>
      <c r="IP10" s="51"/>
      <c r="IQ10" s="51"/>
      <c r="IR10" s="51"/>
      <c r="IS10" s="51"/>
      <c r="IT10" s="51"/>
      <c r="IU10" s="51"/>
      <c r="IV10" s="51"/>
      <c r="IW10" s="51"/>
      <c r="IX10" s="51"/>
      <c r="IY10" s="51"/>
      <c r="IZ10" s="51"/>
      <c r="JA10" s="51"/>
      <c r="JB10" s="51"/>
      <c r="JC10" s="51"/>
      <c r="JD10" s="51"/>
      <c r="JE10" s="51"/>
      <c r="JF10" s="51"/>
      <c r="JG10" s="51"/>
      <c r="JH10" s="51"/>
      <c r="JI10" s="51"/>
      <c r="JJ10" s="51"/>
      <c r="JK10" s="51"/>
      <c r="JL10" s="51"/>
      <c r="JM10" s="51"/>
      <c r="JN10" s="51"/>
      <c r="JO10" s="51"/>
      <c r="JP10" s="51"/>
      <c r="JQ10" s="51"/>
      <c r="JR10" s="51"/>
      <c r="JS10" s="51"/>
      <c r="JT10" s="51"/>
      <c r="JU10" s="51"/>
      <c r="JV10" s="51"/>
      <c r="JW10" s="51"/>
      <c r="JX10" s="51"/>
      <c r="JY10" s="51"/>
      <c r="JZ10" s="51"/>
      <c r="KA10" s="51"/>
      <c r="KB10" s="51"/>
      <c r="KC10" s="51"/>
      <c r="KD10" s="51"/>
      <c r="KE10" s="51"/>
      <c r="KF10" s="51"/>
      <c r="KG10" s="51"/>
      <c r="KH10" s="51"/>
      <c r="KI10" s="51"/>
      <c r="KJ10" s="51"/>
      <c r="KK10" s="51"/>
      <c r="KL10" s="51"/>
      <c r="KM10" s="51"/>
      <c r="KN10" s="51"/>
      <c r="KO10" s="51"/>
      <c r="KP10" s="51"/>
      <c r="KQ10" s="51"/>
      <c r="KR10" s="51"/>
      <c r="KS10" s="51"/>
      <c r="KT10" s="51"/>
      <c r="KU10" s="51"/>
      <c r="KV10" s="51"/>
      <c r="KW10" s="51"/>
      <c r="KX10" s="51"/>
      <c r="KY10" s="51"/>
      <c r="KZ10" s="51"/>
      <c r="LA10" s="51"/>
      <c r="LB10" s="51"/>
      <c r="LC10" s="51"/>
      <c r="LD10" s="51"/>
      <c r="LE10" s="51"/>
      <c r="LF10" s="51"/>
      <c r="LG10" s="51"/>
      <c r="LH10" s="51"/>
      <c r="LI10" s="51"/>
      <c r="LJ10" s="51"/>
      <c r="LK10" s="51"/>
      <c r="LL10" s="51"/>
      <c r="LM10" s="51"/>
      <c r="LN10" s="51"/>
      <c r="LO10" s="51"/>
      <c r="LP10" s="51"/>
      <c r="LQ10" s="51"/>
      <c r="LR10" s="51"/>
      <c r="LS10" s="51"/>
      <c r="LT10" s="51"/>
      <c r="LU10" s="51"/>
      <c r="LV10" s="51"/>
      <c r="LW10" s="51"/>
      <c r="LX10" s="51"/>
      <c r="LY10" s="51"/>
      <c r="LZ10" s="51"/>
      <c r="MA10" s="51"/>
      <c r="MB10" s="51"/>
      <c r="MC10" s="51"/>
      <c r="MD10" s="51"/>
      <c r="ME10" s="51"/>
      <c r="MF10" s="51"/>
      <c r="MG10" s="51"/>
      <c r="MH10" s="51"/>
      <c r="MI10" s="51"/>
      <c r="MJ10" s="51"/>
      <c r="MK10" s="51"/>
      <c r="ML10" s="51"/>
      <c r="MM10" s="51"/>
      <c r="MN10" s="51"/>
      <c r="MO10" s="51"/>
      <c r="MP10" s="51"/>
      <c r="MQ10" s="51"/>
      <c r="MR10" s="51"/>
      <c r="MS10" s="51"/>
      <c r="MT10" s="51"/>
      <c r="MU10" s="51"/>
      <c r="MV10" s="51"/>
      <c r="MW10" s="51"/>
      <c r="MX10" s="51"/>
      <c r="MY10" s="51"/>
      <c r="MZ10" s="51"/>
      <c r="NA10" s="51"/>
      <c r="NB10" s="51"/>
      <c r="NC10" s="51"/>
      <c r="ND10" s="43"/>
      <c r="NE10" s="43"/>
      <c r="NF10" s="43"/>
      <c r="NG10" s="43"/>
      <c r="NH10" s="43"/>
      <c r="NI10" s="43"/>
      <c r="NJ10" s="43"/>
      <c r="NK10" s="43"/>
      <c r="NL10" s="43"/>
      <c r="NM10" s="43"/>
      <c r="NN10" s="43"/>
      <c r="NO10" s="43"/>
      <c r="NP10" s="43"/>
      <c r="NQ10" s="43"/>
    </row>
    <row r="11" ht="12.0" customHeight="1">
      <c r="A11" s="41">
        <v>46082.0</v>
      </c>
      <c r="B11" s="42" t="s">
        <v>18</v>
      </c>
      <c r="C11" s="43" t="s">
        <v>16</v>
      </c>
      <c r="D11" s="44"/>
      <c r="E11" s="45">
        <v>46101.0</v>
      </c>
      <c r="F11" s="46">
        <f t="shared" si="3"/>
        <v>46101</v>
      </c>
      <c r="G11" s="47">
        <v>1.0</v>
      </c>
      <c r="H11" s="53">
        <v>1.0</v>
      </c>
      <c r="I11" s="49">
        <f t="shared" si="4"/>
        <v>1</v>
      </c>
      <c r="J11" s="50"/>
      <c r="K11" s="51"/>
      <c r="L11" s="51"/>
      <c r="M11" s="54"/>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c r="FO11" s="51"/>
      <c r="FP11" s="51"/>
      <c r="FQ11" s="51"/>
      <c r="FR11" s="51"/>
      <c r="FS11" s="51"/>
      <c r="FT11" s="51"/>
      <c r="FU11" s="51"/>
      <c r="FV11" s="51"/>
      <c r="FW11" s="51"/>
      <c r="FX11" s="51"/>
      <c r="FY11" s="51"/>
      <c r="FZ11" s="51"/>
      <c r="GA11" s="51"/>
      <c r="GB11" s="51"/>
      <c r="GC11" s="51"/>
      <c r="GD11" s="51"/>
      <c r="GE11" s="51"/>
      <c r="GF11" s="51"/>
      <c r="GG11" s="51"/>
      <c r="GH11" s="51"/>
      <c r="GI11" s="51"/>
      <c r="GJ11" s="51"/>
      <c r="GK11" s="51"/>
      <c r="GL11" s="51"/>
      <c r="GM11" s="51"/>
      <c r="GN11" s="51"/>
      <c r="GO11" s="51"/>
      <c r="GP11" s="51"/>
      <c r="GQ11" s="51"/>
      <c r="GR11" s="51"/>
      <c r="GS11" s="51"/>
      <c r="GT11" s="51"/>
      <c r="GU11" s="51"/>
      <c r="GV11" s="51"/>
      <c r="GW11" s="51"/>
      <c r="GX11" s="51"/>
      <c r="GY11" s="51"/>
      <c r="GZ11" s="51"/>
      <c r="HA11" s="51"/>
      <c r="HB11" s="51"/>
      <c r="HC11" s="51"/>
      <c r="HD11" s="51"/>
      <c r="HE11" s="51"/>
      <c r="HF11" s="51"/>
      <c r="HG11" s="51"/>
      <c r="HH11" s="51"/>
      <c r="HI11" s="51"/>
      <c r="HJ11" s="51"/>
      <c r="HK11" s="51"/>
      <c r="HL11" s="51"/>
      <c r="HM11" s="51"/>
      <c r="HN11" s="51"/>
      <c r="HO11" s="51"/>
      <c r="HP11" s="51"/>
      <c r="HQ11" s="51"/>
      <c r="HR11" s="51"/>
      <c r="HS11" s="51"/>
      <c r="HT11" s="51"/>
      <c r="HU11" s="51"/>
      <c r="HV11" s="51"/>
      <c r="HW11" s="51"/>
      <c r="HX11" s="51"/>
      <c r="HY11" s="51"/>
      <c r="HZ11" s="51"/>
      <c r="IA11" s="51"/>
      <c r="IB11" s="51"/>
      <c r="IC11" s="51"/>
      <c r="ID11" s="51"/>
      <c r="IE11" s="51"/>
      <c r="IF11" s="51"/>
      <c r="IG11" s="51"/>
      <c r="IH11" s="51"/>
      <c r="II11" s="51"/>
      <c r="IJ11" s="51"/>
      <c r="IK11" s="51"/>
      <c r="IL11" s="51"/>
      <c r="IM11" s="51"/>
      <c r="IN11" s="51"/>
      <c r="IO11" s="51"/>
      <c r="IP11" s="51"/>
      <c r="IQ11" s="51"/>
      <c r="IR11" s="51"/>
      <c r="IS11" s="51"/>
      <c r="IT11" s="51"/>
      <c r="IU11" s="51"/>
      <c r="IV11" s="51"/>
      <c r="IW11" s="51"/>
      <c r="IX11" s="51"/>
      <c r="IY11" s="51"/>
      <c r="IZ11" s="51"/>
      <c r="JA11" s="51"/>
      <c r="JB11" s="51"/>
      <c r="JC11" s="51"/>
      <c r="JD11" s="51"/>
      <c r="JE11" s="51"/>
      <c r="JF11" s="51"/>
      <c r="JG11" s="51"/>
      <c r="JH11" s="43"/>
      <c r="JI11" s="43"/>
      <c r="JJ11" s="43"/>
      <c r="JK11" s="43"/>
      <c r="JL11" s="43"/>
      <c r="JM11" s="43"/>
      <c r="JN11" s="43"/>
      <c r="JO11" s="43"/>
      <c r="JP11" s="43"/>
      <c r="JQ11" s="43"/>
      <c r="JR11" s="43"/>
      <c r="JS11" s="43"/>
      <c r="JT11" s="43"/>
      <c r="JU11" s="43"/>
      <c r="JV11" s="43"/>
      <c r="JW11" s="43"/>
      <c r="JX11" s="43"/>
      <c r="JY11" s="43"/>
      <c r="JZ11" s="43"/>
      <c r="KA11" s="43"/>
      <c r="KB11" s="43"/>
      <c r="KC11" s="43"/>
      <c r="KD11" s="43"/>
      <c r="KE11" s="43"/>
      <c r="KF11" s="43"/>
      <c r="KG11" s="43"/>
      <c r="KH11" s="43"/>
      <c r="KI11" s="43"/>
      <c r="KJ11" s="43"/>
      <c r="KK11" s="43"/>
      <c r="KL11" s="43"/>
      <c r="KM11" s="43"/>
      <c r="KN11" s="43"/>
      <c r="KO11" s="43"/>
      <c r="KP11" s="43"/>
      <c r="KQ11" s="43"/>
      <c r="KR11" s="43"/>
      <c r="KS11" s="43"/>
      <c r="KT11" s="43"/>
      <c r="KU11" s="43"/>
      <c r="KV11" s="43"/>
      <c r="KW11" s="43"/>
      <c r="KX11" s="43"/>
      <c r="KY11" s="43"/>
      <c r="KZ11" s="43"/>
      <c r="LA11" s="43"/>
      <c r="LB11" s="43"/>
      <c r="LC11" s="43"/>
      <c r="LD11" s="43"/>
      <c r="LE11" s="43"/>
      <c r="LF11" s="43"/>
      <c r="LG11" s="43"/>
      <c r="LH11" s="43"/>
      <c r="LI11" s="43"/>
      <c r="LJ11" s="43"/>
      <c r="LK11" s="43"/>
      <c r="LL11" s="43"/>
      <c r="LM11" s="43"/>
      <c r="LN11" s="43"/>
      <c r="LO11" s="43"/>
      <c r="LP11" s="43"/>
      <c r="LQ11" s="43"/>
      <c r="LR11" s="43"/>
      <c r="LS11" s="43"/>
      <c r="LT11" s="43"/>
      <c r="LU11" s="43"/>
      <c r="LV11" s="43"/>
      <c r="LW11" s="43"/>
      <c r="LX11" s="43"/>
      <c r="LY11" s="43"/>
      <c r="LZ11" s="43"/>
      <c r="MA11" s="43"/>
      <c r="MB11" s="43"/>
      <c r="MC11" s="43"/>
      <c r="MD11" s="43"/>
      <c r="ME11" s="43"/>
      <c r="MF11" s="43"/>
      <c r="MG11" s="43"/>
      <c r="MH11" s="43"/>
      <c r="MI11" s="43"/>
      <c r="MJ11" s="43"/>
      <c r="MK11" s="43"/>
      <c r="ML11" s="43"/>
      <c r="MM11" s="43"/>
      <c r="MN11" s="43"/>
      <c r="MO11" s="43"/>
      <c r="MP11" s="43"/>
      <c r="MQ11" s="43"/>
      <c r="MR11" s="43"/>
      <c r="MS11" s="43"/>
      <c r="MT11" s="43"/>
      <c r="MU11" s="43"/>
      <c r="MV11" s="43"/>
      <c r="MW11" s="43"/>
      <c r="MX11" s="43"/>
      <c r="MY11" s="43"/>
      <c r="MZ11" s="43"/>
      <c r="NA11" s="43"/>
      <c r="NB11" s="43"/>
      <c r="NC11" s="43"/>
      <c r="ND11" s="43"/>
      <c r="NE11" s="43"/>
      <c r="NF11" s="43"/>
      <c r="NG11" s="43"/>
      <c r="NH11" s="43"/>
      <c r="NI11" s="43"/>
      <c r="NJ11" s="43"/>
      <c r="NK11" s="43"/>
      <c r="NL11" s="43"/>
      <c r="NM11" s="43"/>
      <c r="NN11" s="43"/>
      <c r="NO11" s="43"/>
      <c r="NP11" s="43"/>
      <c r="NQ11" s="43"/>
    </row>
    <row r="12" ht="12.0" customHeight="1">
      <c r="A12" s="55">
        <v>2.0</v>
      </c>
      <c r="B12" s="56" t="s">
        <v>19</v>
      </c>
      <c r="C12" s="40"/>
      <c r="D12" s="57"/>
      <c r="E12" s="58"/>
      <c r="F12" s="58" t="str">
        <f t="shared" si="3"/>
        <v> - </v>
      </c>
      <c r="G12" s="59"/>
      <c r="H12" s="60"/>
      <c r="I12" s="59" t="str">
        <f t="shared" si="4"/>
        <v> - </v>
      </c>
      <c r="J12" s="61"/>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3"/>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c r="IW12" s="40"/>
      <c r="IX12" s="40"/>
      <c r="IY12" s="40"/>
      <c r="IZ12" s="40"/>
      <c r="JA12" s="40"/>
      <c r="JB12" s="40"/>
      <c r="JC12" s="40"/>
      <c r="JD12" s="40"/>
      <c r="JE12" s="40"/>
      <c r="JF12" s="40"/>
      <c r="JG12" s="40"/>
      <c r="JH12" s="40"/>
      <c r="JI12" s="40"/>
      <c r="JJ12" s="40"/>
      <c r="JK12" s="40"/>
      <c r="JL12" s="40"/>
      <c r="JM12" s="40"/>
      <c r="JN12" s="40"/>
      <c r="JO12" s="40"/>
      <c r="JP12" s="40"/>
      <c r="JQ12" s="40"/>
      <c r="JR12" s="40"/>
      <c r="JS12" s="40"/>
      <c r="JT12" s="40"/>
      <c r="JU12" s="40"/>
      <c r="JV12" s="40"/>
      <c r="JW12" s="40"/>
      <c r="JX12" s="40"/>
      <c r="JY12" s="40"/>
      <c r="JZ12" s="40"/>
      <c r="KA12" s="40"/>
      <c r="KB12" s="40"/>
      <c r="KC12" s="40"/>
      <c r="KD12" s="40"/>
      <c r="KE12" s="40"/>
      <c r="KF12" s="40"/>
      <c r="KG12" s="40"/>
      <c r="KH12" s="40"/>
      <c r="KI12" s="40"/>
      <c r="KJ12" s="40"/>
      <c r="KK12" s="40"/>
      <c r="KL12" s="40"/>
      <c r="KM12" s="40"/>
      <c r="KN12" s="40"/>
      <c r="KO12" s="40"/>
      <c r="KP12" s="40"/>
      <c r="KQ12" s="40"/>
      <c r="KR12" s="40"/>
      <c r="KS12" s="40"/>
      <c r="KT12" s="40"/>
      <c r="KU12" s="40"/>
      <c r="KV12" s="40"/>
      <c r="KW12" s="40"/>
      <c r="KX12" s="40"/>
      <c r="KY12" s="40"/>
      <c r="KZ12" s="40"/>
      <c r="LA12" s="40"/>
      <c r="LB12" s="40"/>
      <c r="LC12" s="40"/>
      <c r="LD12" s="40"/>
      <c r="LE12" s="40"/>
      <c r="LF12" s="40"/>
      <c r="LG12" s="40"/>
      <c r="LH12" s="40"/>
      <c r="LI12" s="40"/>
      <c r="LJ12" s="40"/>
      <c r="LK12" s="40"/>
      <c r="LL12" s="40"/>
      <c r="LM12" s="40"/>
      <c r="LN12" s="40"/>
      <c r="LO12" s="40"/>
      <c r="LP12" s="40"/>
      <c r="LQ12" s="40"/>
      <c r="LR12" s="40"/>
      <c r="LS12" s="40"/>
      <c r="LT12" s="40"/>
      <c r="LU12" s="40"/>
      <c r="LV12" s="40"/>
      <c r="LW12" s="40"/>
      <c r="LX12" s="40"/>
      <c r="LY12" s="40"/>
      <c r="LZ12" s="40"/>
      <c r="MA12" s="40"/>
      <c r="MB12" s="40"/>
      <c r="MC12" s="40"/>
      <c r="MD12" s="40"/>
      <c r="ME12" s="40"/>
      <c r="MF12" s="40"/>
      <c r="MG12" s="40"/>
      <c r="MH12" s="40"/>
      <c r="MI12" s="40"/>
      <c r="MJ12" s="40"/>
      <c r="MK12" s="40"/>
      <c r="ML12" s="40"/>
      <c r="MM12" s="40"/>
      <c r="MN12" s="40"/>
      <c r="MO12" s="40"/>
      <c r="MP12" s="40"/>
      <c r="MQ12" s="40"/>
      <c r="MR12" s="40"/>
      <c r="MS12" s="40"/>
      <c r="MT12" s="40"/>
      <c r="MU12" s="40"/>
      <c r="MV12" s="40"/>
      <c r="MW12" s="40"/>
      <c r="MX12" s="40"/>
      <c r="MY12" s="40"/>
      <c r="MZ12" s="40"/>
      <c r="NA12" s="40"/>
      <c r="NB12" s="40"/>
      <c r="NC12" s="40"/>
      <c r="ND12" s="40"/>
      <c r="NE12" s="40"/>
      <c r="NF12" s="40"/>
      <c r="NG12" s="40"/>
      <c r="NH12" s="40"/>
      <c r="NI12" s="40"/>
      <c r="NJ12" s="40"/>
      <c r="NK12" s="40"/>
      <c r="NL12" s="40"/>
      <c r="NM12" s="40"/>
      <c r="NN12" s="40"/>
      <c r="NO12" s="40"/>
      <c r="NP12" s="40"/>
      <c r="NQ12" s="40"/>
    </row>
    <row r="13" ht="12.0" customHeight="1">
      <c r="A13" s="41">
        <v>46024.0</v>
      </c>
      <c r="B13" s="42" t="s">
        <v>20</v>
      </c>
      <c r="C13" s="63" t="s">
        <v>21</v>
      </c>
      <c r="D13" s="44"/>
      <c r="E13" s="45">
        <v>46113.0</v>
      </c>
      <c r="F13" s="46">
        <f t="shared" si="3"/>
        <v>46116</v>
      </c>
      <c r="G13" s="47">
        <v>4.0</v>
      </c>
      <c r="H13" s="48">
        <v>1.0</v>
      </c>
      <c r="I13" s="49">
        <f t="shared" si="4"/>
        <v>3</v>
      </c>
      <c r="J13" s="50"/>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0"/>
      <c r="DK13" s="4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c r="FU13" s="43"/>
      <c r="FV13" s="43"/>
      <c r="FW13" s="43"/>
      <c r="FX13" s="43"/>
      <c r="FY13" s="43"/>
      <c r="FZ13" s="43"/>
      <c r="GA13" s="43"/>
      <c r="GB13" s="43"/>
      <c r="GC13" s="43"/>
      <c r="GD13" s="43"/>
      <c r="GE13" s="43"/>
      <c r="GF13" s="43"/>
      <c r="GG13" s="43"/>
      <c r="GH13" s="43"/>
      <c r="GI13" s="43"/>
      <c r="GJ13" s="43"/>
      <c r="GK13" s="43"/>
      <c r="GL13" s="43"/>
      <c r="GM13" s="43"/>
      <c r="GN13" s="43"/>
      <c r="GO13" s="43"/>
      <c r="GP13" s="43"/>
      <c r="GQ13" s="43"/>
      <c r="GR13" s="43"/>
      <c r="GS13" s="43"/>
      <c r="GT13" s="43"/>
      <c r="GU13" s="43"/>
      <c r="GV13" s="43"/>
      <c r="GW13" s="43"/>
      <c r="GX13" s="43"/>
      <c r="GY13" s="43"/>
      <c r="GZ13" s="43"/>
      <c r="HA13" s="43"/>
      <c r="HB13" s="43"/>
      <c r="HC13" s="43"/>
      <c r="HD13" s="43"/>
      <c r="HE13" s="43"/>
      <c r="HF13" s="43"/>
      <c r="HG13" s="43"/>
      <c r="HH13" s="43"/>
      <c r="HI13" s="43"/>
      <c r="HJ13" s="43"/>
      <c r="HK13" s="43"/>
      <c r="HL13" s="43"/>
      <c r="HM13" s="43"/>
      <c r="HN13" s="43"/>
      <c r="HO13" s="43"/>
      <c r="HP13" s="43"/>
      <c r="HQ13" s="43"/>
      <c r="HR13" s="43"/>
      <c r="HS13" s="43"/>
      <c r="HT13" s="43"/>
      <c r="HU13" s="43"/>
      <c r="HV13" s="43"/>
      <c r="HW13" s="43"/>
      <c r="HX13" s="43"/>
      <c r="HY13" s="43"/>
      <c r="HZ13" s="43"/>
      <c r="IA13" s="43"/>
      <c r="IB13" s="43"/>
      <c r="IC13" s="43"/>
      <c r="ID13" s="43"/>
      <c r="IE13" s="43"/>
      <c r="IF13" s="43"/>
      <c r="IG13" s="43"/>
      <c r="IH13" s="43"/>
      <c r="II13" s="43"/>
      <c r="IJ13" s="43"/>
      <c r="IK13" s="43"/>
      <c r="IL13" s="43"/>
      <c r="IM13" s="43"/>
      <c r="IN13" s="43"/>
      <c r="IO13" s="43"/>
      <c r="IP13" s="43"/>
      <c r="IQ13" s="43"/>
      <c r="IR13" s="43"/>
      <c r="IS13" s="43"/>
      <c r="IT13" s="43"/>
      <c r="IU13" s="43"/>
      <c r="IV13" s="43"/>
      <c r="IW13" s="43"/>
      <c r="IX13" s="43"/>
      <c r="IY13" s="43"/>
      <c r="IZ13" s="43"/>
      <c r="JA13" s="43"/>
      <c r="JB13" s="43"/>
      <c r="JC13" s="43"/>
      <c r="JD13" s="43"/>
      <c r="JE13" s="43"/>
      <c r="JF13" s="43"/>
      <c r="JG13" s="43"/>
      <c r="JH13" s="43"/>
      <c r="JI13" s="43"/>
      <c r="JJ13" s="43"/>
      <c r="JK13" s="43"/>
      <c r="JL13" s="43"/>
      <c r="JM13" s="43"/>
      <c r="JN13" s="43"/>
      <c r="JO13" s="43"/>
      <c r="JP13" s="43"/>
      <c r="JQ13" s="43"/>
      <c r="JR13" s="43"/>
      <c r="JS13" s="43"/>
      <c r="JT13" s="43"/>
      <c r="JU13" s="43"/>
      <c r="JV13" s="43"/>
      <c r="JW13" s="43"/>
      <c r="JX13" s="43"/>
      <c r="JY13" s="43"/>
      <c r="JZ13" s="43"/>
      <c r="KA13" s="43"/>
      <c r="KB13" s="43"/>
      <c r="KC13" s="43"/>
      <c r="KD13" s="43"/>
      <c r="KE13" s="43"/>
      <c r="KF13" s="43"/>
      <c r="KG13" s="43"/>
      <c r="KH13" s="43"/>
      <c r="KI13" s="43"/>
      <c r="KJ13" s="43"/>
      <c r="KK13" s="43"/>
      <c r="KL13" s="43"/>
      <c r="KM13" s="43"/>
      <c r="KN13" s="43"/>
      <c r="KO13" s="43"/>
      <c r="KP13" s="43"/>
      <c r="KQ13" s="43"/>
      <c r="KR13" s="43"/>
      <c r="KS13" s="43"/>
      <c r="KT13" s="43"/>
      <c r="KU13" s="43"/>
      <c r="KV13" s="43"/>
      <c r="KW13" s="43"/>
      <c r="KX13" s="43"/>
      <c r="KY13" s="43"/>
      <c r="KZ13" s="43"/>
      <c r="LA13" s="43"/>
      <c r="LB13" s="43"/>
      <c r="LC13" s="43"/>
      <c r="LD13" s="43"/>
      <c r="LE13" s="43"/>
      <c r="LF13" s="43"/>
      <c r="LG13" s="43"/>
      <c r="LH13" s="43"/>
      <c r="LI13" s="43"/>
      <c r="LJ13" s="43"/>
      <c r="LK13" s="43"/>
      <c r="LL13" s="43"/>
      <c r="LM13" s="43"/>
      <c r="LN13" s="43"/>
      <c r="LO13" s="43"/>
      <c r="LP13" s="43"/>
      <c r="LQ13" s="43"/>
      <c r="LR13" s="43"/>
      <c r="LS13" s="43"/>
      <c r="LT13" s="43"/>
      <c r="LU13" s="43"/>
      <c r="LV13" s="43"/>
      <c r="LW13" s="43"/>
      <c r="LX13" s="43"/>
      <c r="LY13" s="43"/>
      <c r="LZ13" s="43"/>
      <c r="MA13" s="43"/>
      <c r="MB13" s="43"/>
      <c r="MC13" s="43"/>
      <c r="MD13" s="43"/>
      <c r="ME13" s="43"/>
      <c r="MF13" s="43"/>
      <c r="MG13" s="43"/>
      <c r="MH13" s="43"/>
      <c r="MI13" s="43"/>
      <c r="MJ13" s="43"/>
      <c r="MK13" s="43"/>
      <c r="ML13" s="43"/>
      <c r="MM13" s="43"/>
      <c r="MN13" s="43"/>
      <c r="MO13" s="43"/>
      <c r="MP13" s="43"/>
      <c r="MQ13" s="43"/>
      <c r="MR13" s="43"/>
      <c r="MS13" s="43"/>
      <c r="MT13" s="43"/>
      <c r="MU13" s="43"/>
      <c r="MV13" s="43"/>
      <c r="MW13" s="43"/>
      <c r="MX13" s="43"/>
      <c r="MY13" s="43"/>
      <c r="MZ13" s="43"/>
      <c r="NA13" s="43"/>
      <c r="NB13" s="43"/>
      <c r="NC13" s="43"/>
      <c r="ND13" s="43"/>
      <c r="NE13" s="43"/>
      <c r="NF13" s="43"/>
      <c r="NG13" s="43"/>
      <c r="NH13" s="43"/>
      <c r="NI13" s="43"/>
      <c r="NJ13" s="43"/>
      <c r="NK13" s="43"/>
      <c r="NL13" s="43"/>
      <c r="NM13" s="43"/>
      <c r="NN13" s="43"/>
      <c r="NO13" s="43"/>
      <c r="NP13" s="43"/>
      <c r="NQ13" s="43"/>
    </row>
    <row r="14" ht="12.0" customHeight="1">
      <c r="A14" s="41">
        <v>46055.0</v>
      </c>
      <c r="B14" s="52" t="s">
        <v>22</v>
      </c>
      <c r="C14" s="63" t="s">
        <v>21</v>
      </c>
      <c r="D14" s="44"/>
      <c r="E14" s="45">
        <v>46118.0</v>
      </c>
      <c r="F14" s="46">
        <f t="shared" si="3"/>
        <v>46120</v>
      </c>
      <c r="G14" s="47">
        <v>3.0</v>
      </c>
      <c r="H14" s="48">
        <v>1.0</v>
      </c>
      <c r="I14" s="49">
        <f t="shared" si="4"/>
        <v>3</v>
      </c>
      <c r="J14" s="50"/>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c r="IY14" s="43"/>
      <c r="IZ14" s="43"/>
      <c r="JA14" s="43"/>
      <c r="JB14" s="43"/>
      <c r="JC14" s="43"/>
      <c r="JD14" s="43"/>
      <c r="JE14" s="43"/>
      <c r="JF14" s="43"/>
      <c r="JG14" s="43"/>
      <c r="JH14" s="43"/>
      <c r="JI14" s="43"/>
      <c r="JJ14" s="43"/>
      <c r="JK14" s="43"/>
      <c r="JL14" s="43"/>
      <c r="JM14" s="43"/>
      <c r="JN14" s="43"/>
      <c r="JO14" s="43"/>
      <c r="JP14" s="43"/>
      <c r="JQ14" s="43"/>
      <c r="JR14" s="43"/>
      <c r="JS14" s="43"/>
      <c r="JT14" s="43"/>
      <c r="JU14" s="43"/>
      <c r="JV14" s="43"/>
      <c r="JW14" s="43"/>
      <c r="JX14" s="43"/>
      <c r="JY14" s="43"/>
      <c r="JZ14" s="43"/>
      <c r="KA14" s="43"/>
      <c r="KB14" s="43"/>
      <c r="KC14" s="43"/>
      <c r="KD14" s="43"/>
      <c r="KE14" s="43"/>
      <c r="KF14" s="43"/>
      <c r="KG14" s="43"/>
      <c r="KH14" s="43"/>
      <c r="KI14" s="43"/>
      <c r="KJ14" s="43"/>
      <c r="KK14" s="43"/>
      <c r="KL14" s="43"/>
      <c r="KM14" s="43"/>
      <c r="KN14" s="43"/>
      <c r="KO14" s="43"/>
      <c r="KP14" s="43"/>
      <c r="KQ14" s="43"/>
      <c r="KR14" s="43"/>
      <c r="KS14" s="43"/>
      <c r="KT14" s="43"/>
      <c r="KU14" s="43"/>
      <c r="KV14" s="43"/>
      <c r="KW14" s="43"/>
      <c r="KX14" s="43"/>
      <c r="KY14" s="43"/>
      <c r="KZ14" s="43"/>
      <c r="LA14" s="43"/>
      <c r="LB14" s="43"/>
      <c r="LC14" s="43"/>
      <c r="LD14" s="43"/>
      <c r="LE14" s="43"/>
      <c r="LF14" s="43"/>
      <c r="LG14" s="43"/>
      <c r="LH14" s="43"/>
      <c r="LI14" s="43"/>
      <c r="LJ14" s="43"/>
      <c r="LK14" s="43"/>
      <c r="LL14" s="43"/>
      <c r="LM14" s="43"/>
      <c r="LN14" s="43"/>
      <c r="LO14" s="43"/>
      <c r="LP14" s="43"/>
      <c r="LQ14" s="43"/>
      <c r="LR14" s="43"/>
      <c r="LS14" s="43"/>
      <c r="LT14" s="43"/>
      <c r="LU14" s="43"/>
      <c r="LV14" s="43"/>
      <c r="LW14" s="43"/>
      <c r="LX14" s="43"/>
      <c r="LY14" s="43"/>
      <c r="LZ14" s="43"/>
      <c r="MA14" s="43"/>
      <c r="MB14" s="43"/>
      <c r="MC14" s="43"/>
      <c r="MD14" s="43"/>
      <c r="ME14" s="43"/>
      <c r="MF14" s="43"/>
      <c r="MG14" s="43"/>
      <c r="MH14" s="43"/>
      <c r="MI14" s="43"/>
      <c r="MJ14" s="43"/>
      <c r="MK14" s="43"/>
      <c r="ML14" s="43"/>
      <c r="MM14" s="43"/>
      <c r="MN14" s="43"/>
      <c r="MO14" s="43"/>
      <c r="MP14" s="43"/>
      <c r="MQ14" s="43"/>
      <c r="MR14" s="43"/>
      <c r="MS14" s="43"/>
      <c r="MT14" s="43"/>
      <c r="MU14" s="43"/>
      <c r="MV14" s="43"/>
      <c r="MW14" s="43"/>
      <c r="MX14" s="43"/>
      <c r="MY14" s="43"/>
      <c r="MZ14" s="43"/>
      <c r="NA14" s="43"/>
      <c r="NB14" s="43"/>
      <c r="NC14" s="43"/>
      <c r="ND14" s="43"/>
      <c r="NE14" s="43"/>
      <c r="NF14" s="43"/>
      <c r="NG14" s="43"/>
      <c r="NH14" s="43"/>
      <c r="NI14" s="43"/>
      <c r="NJ14" s="43"/>
      <c r="NK14" s="43"/>
      <c r="NL14" s="43"/>
      <c r="NM14" s="43"/>
      <c r="NN14" s="43"/>
      <c r="NO14" s="43"/>
      <c r="NP14" s="43"/>
      <c r="NQ14" s="43"/>
    </row>
    <row r="15" ht="12.0" customHeight="1">
      <c r="A15" s="41">
        <v>46083.0</v>
      </c>
      <c r="B15" s="42" t="s">
        <v>23</v>
      </c>
      <c r="C15" s="63" t="s">
        <v>21</v>
      </c>
      <c r="D15" s="44"/>
      <c r="E15" s="45">
        <v>46122.0</v>
      </c>
      <c r="F15" s="46">
        <f t="shared" si="3"/>
        <v>46128</v>
      </c>
      <c r="G15" s="64">
        <v>7.0</v>
      </c>
      <c r="H15" s="48">
        <v>1.0</v>
      </c>
      <c r="I15" s="49">
        <f t="shared" si="4"/>
        <v>5</v>
      </c>
      <c r="J15" s="50"/>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43"/>
      <c r="EJ15" s="43"/>
      <c r="EK15" s="43"/>
      <c r="EL15" s="43"/>
      <c r="EM15" s="43"/>
      <c r="EN15" s="43"/>
      <c r="EO15" s="43"/>
      <c r="EP15" s="43"/>
      <c r="EQ15" s="43"/>
      <c r="ER15" s="43"/>
      <c r="ES15" s="43"/>
      <c r="ET15" s="43"/>
      <c r="EU15" s="43"/>
      <c r="EV15" s="43"/>
      <c r="EW15" s="43"/>
      <c r="EX15" s="43"/>
      <c r="EY15" s="43"/>
      <c r="EZ15" s="43"/>
      <c r="FA15" s="43"/>
      <c r="FB15" s="43"/>
      <c r="FC15" s="43"/>
      <c r="FD15" s="43"/>
      <c r="FE15" s="43"/>
      <c r="FF15" s="43"/>
      <c r="FG15" s="43"/>
      <c r="FH15" s="43"/>
      <c r="FI15" s="43"/>
      <c r="FJ15" s="43"/>
      <c r="FK15" s="43"/>
      <c r="FL15" s="43"/>
      <c r="FM15" s="43"/>
      <c r="FN15" s="43"/>
      <c r="FO15" s="43"/>
      <c r="FP15" s="43"/>
      <c r="FQ15" s="43"/>
      <c r="FR15" s="43"/>
      <c r="FS15" s="43"/>
      <c r="FT15" s="43"/>
      <c r="FU15" s="43"/>
      <c r="FV15" s="43"/>
      <c r="FW15" s="43"/>
      <c r="FX15" s="43"/>
      <c r="FY15" s="43"/>
      <c r="FZ15" s="43"/>
      <c r="GA15" s="43"/>
      <c r="GB15" s="43"/>
      <c r="GC15" s="43"/>
      <c r="GD15" s="43"/>
      <c r="GE15" s="43"/>
      <c r="GF15" s="43"/>
      <c r="GG15" s="43"/>
      <c r="GH15" s="43"/>
      <c r="GI15" s="43"/>
      <c r="GJ15" s="43"/>
      <c r="GK15" s="43"/>
      <c r="GL15" s="43"/>
      <c r="GM15" s="43"/>
      <c r="GN15" s="43"/>
      <c r="GO15" s="43"/>
      <c r="GP15" s="43"/>
      <c r="GQ15" s="43"/>
      <c r="GR15" s="43"/>
      <c r="GS15" s="43"/>
      <c r="GT15" s="43"/>
      <c r="GU15" s="43"/>
      <c r="GV15" s="43"/>
      <c r="GW15" s="43"/>
      <c r="GX15" s="43"/>
      <c r="GY15" s="43"/>
      <c r="GZ15" s="43"/>
      <c r="HA15" s="43"/>
      <c r="HB15" s="43"/>
      <c r="HC15" s="43"/>
      <c r="HD15" s="43"/>
      <c r="HE15" s="43"/>
      <c r="HF15" s="43"/>
      <c r="HG15" s="43"/>
      <c r="HH15" s="43"/>
      <c r="HI15" s="43"/>
      <c r="HJ15" s="43"/>
      <c r="HK15" s="43"/>
      <c r="HL15" s="43"/>
      <c r="HM15" s="43"/>
      <c r="HN15" s="43"/>
      <c r="HO15" s="43"/>
      <c r="HP15" s="43"/>
      <c r="HQ15" s="43"/>
      <c r="HR15" s="43"/>
      <c r="HS15" s="43"/>
      <c r="HT15" s="43"/>
      <c r="HU15" s="43"/>
      <c r="HV15" s="43"/>
      <c r="HW15" s="43"/>
      <c r="HX15" s="43"/>
      <c r="HY15" s="43"/>
      <c r="HZ15" s="43"/>
      <c r="IA15" s="43"/>
      <c r="IB15" s="43"/>
      <c r="IC15" s="43"/>
      <c r="ID15" s="43"/>
      <c r="IE15" s="43"/>
      <c r="IF15" s="43"/>
      <c r="IG15" s="43"/>
      <c r="IH15" s="43"/>
      <c r="II15" s="43"/>
      <c r="IJ15" s="43"/>
      <c r="IK15" s="43"/>
      <c r="IL15" s="43"/>
      <c r="IM15" s="43"/>
      <c r="IN15" s="43"/>
      <c r="IO15" s="43"/>
      <c r="IP15" s="43"/>
      <c r="IQ15" s="43"/>
      <c r="IR15" s="43"/>
      <c r="IS15" s="43"/>
      <c r="IT15" s="43"/>
      <c r="IU15" s="43"/>
      <c r="IV15" s="43"/>
      <c r="IW15" s="43"/>
      <c r="IX15" s="43"/>
      <c r="IY15" s="43"/>
      <c r="IZ15" s="43"/>
      <c r="JA15" s="43"/>
      <c r="JB15" s="43"/>
      <c r="JC15" s="43"/>
      <c r="JD15" s="43"/>
      <c r="JE15" s="43"/>
      <c r="JF15" s="43"/>
      <c r="JG15" s="43"/>
      <c r="JH15" s="43"/>
      <c r="JI15" s="43"/>
      <c r="JJ15" s="43"/>
      <c r="JK15" s="43"/>
      <c r="JL15" s="43"/>
      <c r="JM15" s="43"/>
      <c r="JN15" s="43"/>
      <c r="JO15" s="43"/>
      <c r="JP15" s="43"/>
      <c r="JQ15" s="43"/>
      <c r="JR15" s="43"/>
      <c r="JS15" s="43"/>
      <c r="JT15" s="43"/>
      <c r="JU15" s="43"/>
      <c r="JV15" s="43"/>
      <c r="JW15" s="43"/>
      <c r="JX15" s="43"/>
      <c r="JY15" s="43"/>
      <c r="JZ15" s="43"/>
      <c r="KA15" s="43"/>
      <c r="KB15" s="43"/>
      <c r="KC15" s="43"/>
      <c r="KD15" s="43"/>
      <c r="KE15" s="43"/>
      <c r="KF15" s="43"/>
      <c r="KG15" s="43"/>
      <c r="KH15" s="43"/>
      <c r="KI15" s="43"/>
      <c r="KJ15" s="43"/>
      <c r="KK15" s="43"/>
      <c r="KL15" s="43"/>
      <c r="KM15" s="43"/>
      <c r="KN15" s="43"/>
      <c r="KO15" s="43"/>
      <c r="KP15" s="43"/>
      <c r="KQ15" s="43"/>
      <c r="KR15" s="43"/>
      <c r="KS15" s="43"/>
      <c r="KT15" s="43"/>
      <c r="KU15" s="43"/>
      <c r="KV15" s="43"/>
      <c r="KW15" s="43"/>
      <c r="KX15" s="43"/>
      <c r="KY15" s="43"/>
      <c r="KZ15" s="43"/>
      <c r="LA15" s="43"/>
      <c r="LB15" s="43"/>
      <c r="LC15" s="43"/>
      <c r="LD15" s="43"/>
      <c r="LE15" s="43"/>
      <c r="LF15" s="43"/>
      <c r="LG15" s="43"/>
      <c r="LH15" s="43"/>
      <c r="LI15" s="43"/>
      <c r="LJ15" s="43"/>
      <c r="LK15" s="43"/>
      <c r="LL15" s="43"/>
      <c r="LM15" s="43"/>
      <c r="LN15" s="43"/>
      <c r="LO15" s="43"/>
      <c r="LP15" s="43"/>
      <c r="LQ15" s="43"/>
      <c r="LR15" s="43"/>
      <c r="LS15" s="43"/>
      <c r="LT15" s="43"/>
      <c r="LU15" s="43"/>
      <c r="LV15" s="43"/>
      <c r="LW15" s="43"/>
      <c r="LX15" s="43"/>
      <c r="LY15" s="43"/>
      <c r="LZ15" s="43"/>
      <c r="MA15" s="43"/>
      <c r="MB15" s="43"/>
      <c r="MC15" s="43"/>
      <c r="MD15" s="43"/>
      <c r="ME15" s="43"/>
      <c r="MF15" s="43"/>
      <c r="MG15" s="43"/>
      <c r="MH15" s="43"/>
      <c r="MI15" s="43"/>
      <c r="MJ15" s="43"/>
      <c r="MK15" s="43"/>
      <c r="ML15" s="43"/>
      <c r="MM15" s="43"/>
      <c r="MN15" s="43"/>
      <c r="MO15" s="43"/>
      <c r="MP15" s="43"/>
      <c r="MQ15" s="43"/>
      <c r="MR15" s="43"/>
      <c r="MS15" s="43"/>
      <c r="MT15" s="43"/>
      <c r="MU15" s="43"/>
      <c r="MV15" s="43"/>
      <c r="MW15" s="43"/>
      <c r="MX15" s="43"/>
      <c r="MY15" s="43"/>
      <c r="MZ15" s="43"/>
      <c r="NA15" s="43"/>
      <c r="NB15" s="43"/>
      <c r="NC15" s="43"/>
      <c r="ND15" s="43"/>
      <c r="NE15" s="43"/>
      <c r="NF15" s="43"/>
      <c r="NG15" s="43"/>
      <c r="NH15" s="43"/>
      <c r="NI15" s="43"/>
      <c r="NJ15" s="43"/>
      <c r="NK15" s="43"/>
      <c r="NL15" s="43"/>
      <c r="NM15" s="43"/>
      <c r="NN15" s="43"/>
      <c r="NO15" s="43"/>
      <c r="NP15" s="43"/>
      <c r="NQ15" s="43"/>
    </row>
    <row r="16" ht="12.0" customHeight="1">
      <c r="A16" s="41">
        <v>46114.0</v>
      </c>
      <c r="B16" s="52" t="s">
        <v>24</v>
      </c>
      <c r="C16" s="63" t="s">
        <v>21</v>
      </c>
      <c r="D16" s="44"/>
      <c r="E16" s="45">
        <v>46129.0</v>
      </c>
      <c r="F16" s="46">
        <f t="shared" si="3"/>
        <v>46130</v>
      </c>
      <c r="G16" s="47">
        <v>2.0</v>
      </c>
      <c r="H16" s="48">
        <v>1.0</v>
      </c>
      <c r="I16" s="49">
        <f t="shared" si="4"/>
        <v>1</v>
      </c>
      <c r="J16" s="50"/>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c r="GX16" s="43"/>
      <c r="GY16" s="43"/>
      <c r="GZ16" s="43"/>
      <c r="HA16" s="43"/>
      <c r="HB16" s="43"/>
      <c r="HC16" s="43"/>
      <c r="HD16" s="43"/>
      <c r="HE16" s="43"/>
      <c r="HF16" s="43"/>
      <c r="HG16" s="43"/>
      <c r="HH16" s="43"/>
      <c r="HI16" s="43"/>
      <c r="HJ16" s="43"/>
      <c r="HK16" s="43"/>
      <c r="HL16" s="43"/>
      <c r="HM16" s="43"/>
      <c r="HN16" s="43"/>
      <c r="HO16" s="43"/>
      <c r="HP16" s="43"/>
      <c r="HQ16" s="43"/>
      <c r="HR16" s="43"/>
      <c r="HS16" s="43"/>
      <c r="HT16" s="43"/>
      <c r="HU16" s="43"/>
      <c r="HV16" s="43"/>
      <c r="HW16" s="43"/>
      <c r="HX16" s="43"/>
      <c r="HY16" s="43"/>
      <c r="HZ16" s="43"/>
      <c r="IA16" s="43"/>
      <c r="IB16" s="43"/>
      <c r="IC16" s="43"/>
      <c r="ID16" s="43"/>
      <c r="IE16" s="43"/>
      <c r="IF16" s="43"/>
      <c r="IG16" s="43"/>
      <c r="IH16" s="43"/>
      <c r="II16" s="43"/>
      <c r="IJ16" s="43"/>
      <c r="IK16" s="43"/>
      <c r="IL16" s="43"/>
      <c r="IM16" s="43"/>
      <c r="IN16" s="43"/>
      <c r="IO16" s="43"/>
      <c r="IP16" s="43"/>
      <c r="IQ16" s="43"/>
      <c r="IR16" s="43"/>
      <c r="IS16" s="43"/>
      <c r="IT16" s="43"/>
      <c r="IU16" s="43"/>
      <c r="IV16" s="43"/>
      <c r="IW16" s="43"/>
      <c r="IX16" s="43"/>
      <c r="IY16" s="43"/>
      <c r="IZ16" s="43"/>
      <c r="JA16" s="43"/>
      <c r="JB16" s="43"/>
      <c r="JC16" s="43"/>
      <c r="JD16" s="43"/>
      <c r="JE16" s="43"/>
      <c r="JF16" s="43"/>
      <c r="JG16" s="43"/>
      <c r="JH16" s="43"/>
      <c r="JI16" s="43"/>
      <c r="JJ16" s="43"/>
      <c r="JK16" s="43"/>
      <c r="JL16" s="43"/>
      <c r="JM16" s="43"/>
      <c r="JN16" s="43"/>
      <c r="JO16" s="43"/>
      <c r="JP16" s="43"/>
      <c r="JQ16" s="43"/>
      <c r="JR16" s="43"/>
      <c r="JS16" s="43"/>
      <c r="JT16" s="43"/>
      <c r="JU16" s="43"/>
      <c r="JV16" s="43"/>
      <c r="JW16" s="43"/>
      <c r="JX16" s="43"/>
      <c r="JY16" s="43"/>
      <c r="JZ16" s="43"/>
      <c r="KA16" s="43"/>
      <c r="KB16" s="43"/>
      <c r="KC16" s="43"/>
      <c r="KD16" s="43"/>
      <c r="KE16" s="43"/>
      <c r="KF16" s="43"/>
      <c r="KG16" s="43"/>
      <c r="KH16" s="43"/>
      <c r="KI16" s="43"/>
      <c r="KJ16" s="43"/>
      <c r="KK16" s="43"/>
      <c r="KL16" s="43"/>
      <c r="KM16" s="43"/>
      <c r="KN16" s="43"/>
      <c r="KO16" s="43"/>
      <c r="KP16" s="43"/>
      <c r="KQ16" s="43"/>
      <c r="KR16" s="43"/>
      <c r="KS16" s="43"/>
      <c r="KT16" s="43"/>
      <c r="KU16" s="43"/>
      <c r="KV16" s="43"/>
      <c r="KW16" s="43"/>
      <c r="KX16" s="43"/>
      <c r="KY16" s="43"/>
      <c r="KZ16" s="43"/>
      <c r="LA16" s="43"/>
      <c r="LB16" s="43"/>
      <c r="LC16" s="43"/>
      <c r="LD16" s="43"/>
      <c r="LE16" s="43"/>
      <c r="LF16" s="43"/>
      <c r="LG16" s="43"/>
      <c r="LH16" s="43"/>
      <c r="LI16" s="43"/>
      <c r="LJ16" s="43"/>
      <c r="LK16" s="43"/>
      <c r="LL16" s="43"/>
      <c r="LM16" s="43"/>
      <c r="LN16" s="43"/>
      <c r="LO16" s="43"/>
      <c r="LP16" s="43"/>
      <c r="LQ16" s="43"/>
      <c r="LR16" s="43"/>
      <c r="LS16" s="43"/>
      <c r="LT16" s="43"/>
      <c r="LU16" s="43"/>
      <c r="LV16" s="43"/>
      <c r="LW16" s="43"/>
      <c r="LX16" s="43"/>
      <c r="LY16" s="43"/>
      <c r="LZ16" s="43"/>
      <c r="MA16" s="43"/>
      <c r="MB16" s="43"/>
      <c r="MC16" s="43"/>
      <c r="MD16" s="43"/>
      <c r="ME16" s="43"/>
      <c r="MF16" s="43"/>
      <c r="MG16" s="43"/>
      <c r="MH16" s="43"/>
      <c r="MI16" s="43"/>
      <c r="MJ16" s="43"/>
      <c r="MK16" s="43"/>
      <c r="ML16" s="43"/>
      <c r="MM16" s="43"/>
      <c r="MN16" s="43"/>
      <c r="MO16" s="43"/>
      <c r="MP16" s="43"/>
      <c r="MQ16" s="43"/>
      <c r="MR16" s="43"/>
      <c r="MS16" s="43"/>
      <c r="MT16" s="43"/>
      <c r="MU16" s="43"/>
      <c r="MV16" s="43"/>
      <c r="MW16" s="43"/>
      <c r="MX16" s="43"/>
      <c r="MY16" s="43"/>
      <c r="MZ16" s="43"/>
      <c r="NA16" s="43"/>
      <c r="NB16" s="43"/>
      <c r="NC16" s="43"/>
      <c r="ND16" s="43"/>
      <c r="NE16" s="43"/>
      <c r="NF16" s="43"/>
      <c r="NG16" s="43"/>
      <c r="NH16" s="43"/>
      <c r="NI16" s="43"/>
      <c r="NJ16" s="43"/>
      <c r="NK16" s="43"/>
      <c r="NL16" s="43"/>
      <c r="NM16" s="43"/>
      <c r="NN16" s="43"/>
      <c r="NO16" s="43"/>
      <c r="NP16" s="43"/>
      <c r="NQ16" s="43"/>
    </row>
    <row r="17" ht="12.0" customHeight="1">
      <c r="A17" s="55">
        <v>3.0</v>
      </c>
      <c r="B17" s="56" t="s">
        <v>25</v>
      </c>
      <c r="C17" s="40"/>
      <c r="D17" s="57"/>
      <c r="E17" s="58"/>
      <c r="F17" s="58" t="str">
        <f t="shared" si="3"/>
        <v> - </v>
      </c>
      <c r="G17" s="59"/>
      <c r="H17" s="60"/>
      <c r="I17" s="59" t="str">
        <f t="shared" si="4"/>
        <v> - </v>
      </c>
      <c r="J17" s="61"/>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3"/>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c r="IW17" s="40"/>
      <c r="IX17" s="40"/>
      <c r="IY17" s="40"/>
      <c r="IZ17" s="40"/>
      <c r="JA17" s="40"/>
      <c r="JB17" s="40"/>
      <c r="JC17" s="40"/>
      <c r="JD17" s="40"/>
      <c r="JE17" s="40"/>
      <c r="JF17" s="40"/>
      <c r="JG17" s="40"/>
      <c r="JH17" s="40"/>
      <c r="JI17" s="40"/>
      <c r="JJ17" s="40"/>
      <c r="JK17" s="40"/>
      <c r="JL17" s="40"/>
      <c r="JM17" s="40"/>
      <c r="JN17" s="40"/>
      <c r="JO17" s="40"/>
      <c r="JP17" s="40"/>
      <c r="JQ17" s="40"/>
      <c r="JR17" s="40"/>
      <c r="JS17" s="40"/>
      <c r="JT17" s="40"/>
      <c r="JU17" s="40"/>
      <c r="JV17" s="40"/>
      <c r="JW17" s="40"/>
      <c r="JX17" s="40"/>
      <c r="JY17" s="40"/>
      <c r="JZ17" s="40"/>
      <c r="KA17" s="40"/>
      <c r="KB17" s="40"/>
      <c r="KC17" s="40"/>
      <c r="KD17" s="40"/>
      <c r="KE17" s="40"/>
      <c r="KF17" s="40"/>
      <c r="KG17" s="40"/>
      <c r="KH17" s="40"/>
      <c r="KI17" s="40"/>
      <c r="KJ17" s="40"/>
      <c r="KK17" s="40"/>
      <c r="KL17" s="40"/>
      <c r="KM17" s="40"/>
      <c r="KN17" s="40"/>
      <c r="KO17" s="40"/>
      <c r="KP17" s="40"/>
      <c r="KQ17" s="40"/>
      <c r="KR17" s="40"/>
      <c r="KS17" s="40"/>
      <c r="KT17" s="40"/>
      <c r="KU17" s="40"/>
      <c r="KV17" s="40"/>
      <c r="KW17" s="40"/>
      <c r="KX17" s="40"/>
      <c r="KY17" s="40"/>
      <c r="KZ17" s="40"/>
      <c r="LA17" s="40"/>
      <c r="LB17" s="40"/>
      <c r="LC17" s="40"/>
      <c r="LD17" s="40"/>
      <c r="LE17" s="40"/>
      <c r="LF17" s="40"/>
      <c r="LG17" s="40"/>
      <c r="LH17" s="40"/>
      <c r="LI17" s="40"/>
      <c r="LJ17" s="40"/>
      <c r="LK17" s="40"/>
      <c r="LL17" s="40"/>
      <c r="LM17" s="40"/>
      <c r="LN17" s="40"/>
      <c r="LO17" s="40"/>
      <c r="LP17" s="40"/>
      <c r="LQ17" s="40"/>
      <c r="LR17" s="40"/>
      <c r="LS17" s="40"/>
      <c r="LT17" s="40"/>
      <c r="LU17" s="40"/>
      <c r="LV17" s="40"/>
      <c r="LW17" s="40"/>
      <c r="LX17" s="40"/>
      <c r="LY17" s="40"/>
      <c r="LZ17" s="40"/>
      <c r="MA17" s="40"/>
      <c r="MB17" s="40"/>
      <c r="MC17" s="40"/>
      <c r="MD17" s="40"/>
      <c r="ME17" s="40"/>
      <c r="MF17" s="40"/>
      <c r="MG17" s="40"/>
      <c r="MH17" s="40"/>
      <c r="MI17" s="40"/>
      <c r="MJ17" s="40"/>
      <c r="MK17" s="40"/>
      <c r="ML17" s="40"/>
      <c r="MM17" s="40"/>
      <c r="MN17" s="40"/>
      <c r="MO17" s="40"/>
      <c r="MP17" s="40"/>
      <c r="MQ17" s="40"/>
      <c r="MR17" s="40"/>
      <c r="MS17" s="40"/>
      <c r="MT17" s="40"/>
      <c r="MU17" s="40"/>
      <c r="MV17" s="40"/>
      <c r="MW17" s="40"/>
      <c r="MX17" s="40"/>
      <c r="MY17" s="40"/>
      <c r="MZ17" s="40"/>
      <c r="NA17" s="40"/>
      <c r="NB17" s="40"/>
      <c r="NC17" s="40"/>
      <c r="ND17" s="40"/>
      <c r="NE17" s="40"/>
      <c r="NF17" s="40"/>
      <c r="NG17" s="40"/>
      <c r="NH17" s="40"/>
      <c r="NI17" s="40"/>
      <c r="NJ17" s="40"/>
      <c r="NK17" s="40"/>
      <c r="NL17" s="40"/>
      <c r="NM17" s="40"/>
      <c r="NN17" s="40"/>
      <c r="NO17" s="40"/>
      <c r="NP17" s="40"/>
      <c r="NQ17" s="40"/>
    </row>
    <row r="18" ht="12.0" customHeight="1">
      <c r="A18" s="41">
        <v>46025.0</v>
      </c>
      <c r="B18" s="42" t="s">
        <v>26</v>
      </c>
      <c r="C18" s="63" t="s">
        <v>16</v>
      </c>
      <c r="D18" s="44"/>
      <c r="E18" s="45">
        <v>46140.0</v>
      </c>
      <c r="F18" s="46">
        <f t="shared" si="3"/>
        <v>46149</v>
      </c>
      <c r="G18" s="64">
        <v>10.0</v>
      </c>
      <c r="H18" s="48">
        <v>1.0</v>
      </c>
      <c r="I18" s="49">
        <f t="shared" si="4"/>
        <v>8</v>
      </c>
      <c r="J18" s="50"/>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43"/>
      <c r="BP18" s="43"/>
      <c r="BQ18" s="43"/>
      <c r="BR18" s="43"/>
      <c r="BS18" s="43"/>
      <c r="BT18" s="43"/>
      <c r="BU18" s="43"/>
      <c r="BV18" s="43"/>
      <c r="BW18" s="43"/>
      <c r="BX18" s="43"/>
      <c r="BY18" s="43"/>
      <c r="BZ18" s="43"/>
      <c r="CA18" s="43"/>
      <c r="CB18" s="43"/>
      <c r="CC18" s="43"/>
      <c r="CD18" s="43"/>
      <c r="CE18" s="43"/>
      <c r="CF18" s="43"/>
      <c r="CG18" s="43"/>
      <c r="CH18" s="51"/>
      <c r="CI18" s="51"/>
      <c r="CJ18" s="51"/>
      <c r="CK18" s="51"/>
      <c r="CL18" s="51"/>
      <c r="CM18" s="51"/>
      <c r="CN18" s="51"/>
      <c r="CO18" s="51"/>
      <c r="CP18" s="51"/>
      <c r="CQ18" s="51"/>
      <c r="CR18" s="51"/>
      <c r="CS18" s="43"/>
      <c r="CT18" s="43"/>
      <c r="CU18" s="43"/>
      <c r="CV18" s="43"/>
      <c r="CW18" s="43"/>
      <c r="CX18" s="43"/>
      <c r="CY18" s="43"/>
      <c r="CZ18" s="43"/>
      <c r="DA18" s="43"/>
      <c r="DB18" s="43"/>
      <c r="DC18" s="43"/>
      <c r="DD18" s="43"/>
      <c r="DE18" s="43"/>
      <c r="DF18" s="43"/>
      <c r="DG18" s="43"/>
      <c r="DH18" s="43"/>
      <c r="DI18" s="43"/>
      <c r="DJ18" s="40"/>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43"/>
      <c r="EJ18" s="43"/>
      <c r="EK18" s="43"/>
      <c r="EL18" s="43"/>
      <c r="EM18" s="43"/>
      <c r="EN18" s="43"/>
      <c r="EO18" s="43"/>
      <c r="EP18" s="43"/>
      <c r="EQ18" s="43"/>
      <c r="ER18" s="43"/>
      <c r="ES18" s="43"/>
      <c r="ET18" s="43"/>
      <c r="EU18" s="43"/>
      <c r="EV18" s="43"/>
      <c r="EW18" s="43"/>
      <c r="EX18" s="43"/>
      <c r="EY18" s="43"/>
      <c r="EZ18" s="43"/>
      <c r="FA18" s="43"/>
      <c r="FB18" s="43"/>
      <c r="FC18" s="43"/>
      <c r="FD18" s="43"/>
      <c r="FE18" s="43"/>
      <c r="FF18" s="43"/>
      <c r="FG18" s="43"/>
      <c r="FH18" s="43"/>
      <c r="FI18" s="43"/>
      <c r="FJ18" s="43"/>
      <c r="FK18" s="43"/>
      <c r="FL18" s="43"/>
      <c r="FM18" s="43"/>
      <c r="FN18" s="43"/>
      <c r="FO18" s="43"/>
      <c r="FP18" s="43"/>
      <c r="FQ18" s="43"/>
      <c r="FR18" s="43"/>
      <c r="FS18" s="43"/>
      <c r="FT18" s="43"/>
      <c r="FU18" s="43"/>
      <c r="FV18" s="43"/>
      <c r="FW18" s="43"/>
      <c r="FX18" s="43"/>
      <c r="FY18" s="43"/>
      <c r="FZ18" s="43"/>
      <c r="GA18" s="43"/>
      <c r="GB18" s="43"/>
      <c r="GC18" s="43"/>
      <c r="GD18" s="43"/>
      <c r="GE18" s="43"/>
      <c r="GF18" s="43"/>
      <c r="GG18" s="43"/>
      <c r="GH18" s="43"/>
      <c r="GI18" s="43"/>
      <c r="GJ18" s="43"/>
      <c r="GK18" s="43"/>
      <c r="GL18" s="43"/>
      <c r="GM18" s="43"/>
      <c r="GN18" s="43"/>
      <c r="GO18" s="43"/>
      <c r="GP18" s="43"/>
      <c r="GQ18" s="43"/>
      <c r="GR18" s="43"/>
      <c r="GS18" s="43"/>
      <c r="GT18" s="43"/>
      <c r="GU18" s="43"/>
      <c r="GV18" s="43"/>
      <c r="GW18" s="43"/>
      <c r="GX18" s="43"/>
      <c r="GY18" s="43"/>
      <c r="GZ18" s="43"/>
      <c r="HA18" s="43"/>
      <c r="HB18" s="43"/>
      <c r="HC18" s="43"/>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43"/>
      <c r="MM18" s="43"/>
      <c r="MN18" s="43"/>
      <c r="MO18" s="43"/>
      <c r="MP18" s="43"/>
      <c r="MQ18" s="43"/>
      <c r="MR18" s="43"/>
      <c r="MS18" s="43"/>
      <c r="MT18" s="43"/>
      <c r="MU18" s="43"/>
      <c r="MV18" s="43"/>
      <c r="MW18" s="43"/>
      <c r="MX18" s="43"/>
      <c r="MY18" s="43"/>
      <c r="MZ18" s="43"/>
      <c r="NA18" s="43"/>
      <c r="NB18" s="43"/>
      <c r="NC18" s="43"/>
      <c r="ND18" s="43"/>
      <c r="NE18" s="43"/>
      <c r="NF18" s="43"/>
      <c r="NG18" s="43"/>
      <c r="NH18" s="43"/>
      <c r="NI18" s="43"/>
      <c r="NJ18" s="43"/>
      <c r="NK18" s="43"/>
      <c r="NL18" s="43"/>
      <c r="NM18" s="43"/>
      <c r="NN18" s="43"/>
      <c r="NO18" s="43"/>
      <c r="NP18" s="43"/>
      <c r="NQ18" s="43"/>
    </row>
    <row r="19" ht="22.5" customHeight="1">
      <c r="A19" s="41">
        <v>46056.0</v>
      </c>
      <c r="B19" s="42" t="s">
        <v>27</v>
      </c>
      <c r="C19" s="63" t="s">
        <v>21</v>
      </c>
      <c r="D19" s="44"/>
      <c r="E19" s="45">
        <v>46143.0</v>
      </c>
      <c r="F19" s="46">
        <f t="shared" si="3"/>
        <v>46150</v>
      </c>
      <c r="G19" s="64">
        <v>8.0</v>
      </c>
      <c r="H19" s="48">
        <v>1.0</v>
      </c>
      <c r="I19" s="49">
        <f t="shared" si="4"/>
        <v>6</v>
      </c>
      <c r="J19" s="50"/>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51"/>
      <c r="CS19" s="51"/>
      <c r="CT19" s="51"/>
      <c r="CU19" s="51"/>
      <c r="CV19" s="51"/>
      <c r="CW19" s="51"/>
      <c r="CX19" s="51"/>
      <c r="CY19" s="51"/>
      <c r="CZ19" s="51"/>
      <c r="DA19" s="51"/>
      <c r="DB19" s="51"/>
      <c r="DC19" s="51"/>
      <c r="DD19" s="51"/>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c r="JA19" s="43"/>
      <c r="JB19" s="43"/>
      <c r="JC19" s="43"/>
      <c r="JD19" s="43"/>
      <c r="JE19" s="43"/>
      <c r="JF19" s="43"/>
      <c r="JG19" s="43"/>
      <c r="JH19" s="43"/>
      <c r="JI19" s="43"/>
      <c r="JJ19" s="43"/>
      <c r="JK19" s="43"/>
      <c r="JL19" s="43"/>
      <c r="JM19" s="43"/>
      <c r="JN19" s="43"/>
      <c r="JO19" s="43"/>
      <c r="JP19" s="43"/>
      <c r="JQ19" s="43"/>
      <c r="JR19" s="43"/>
      <c r="JS19" s="43"/>
      <c r="JT19" s="43"/>
      <c r="JU19" s="43"/>
      <c r="JV19" s="43"/>
      <c r="JW19" s="43"/>
      <c r="JX19" s="43"/>
      <c r="JY19" s="43"/>
      <c r="JZ19" s="43"/>
      <c r="KA19" s="43"/>
      <c r="KB19" s="43"/>
      <c r="KC19" s="43"/>
      <c r="KD19" s="43"/>
      <c r="KE19" s="43"/>
      <c r="KF19" s="43"/>
      <c r="KG19" s="43"/>
      <c r="KH19" s="43"/>
      <c r="KI19" s="43"/>
      <c r="KJ19" s="43"/>
      <c r="KK19" s="43"/>
      <c r="KL19" s="43"/>
      <c r="KM19" s="43"/>
      <c r="KN19" s="43"/>
      <c r="KO19" s="43"/>
      <c r="KP19" s="43"/>
      <c r="KQ19" s="43"/>
      <c r="KR19" s="43"/>
      <c r="KS19" s="43"/>
      <c r="KT19" s="43"/>
      <c r="KU19" s="43"/>
      <c r="KV19" s="43"/>
      <c r="KW19" s="43"/>
      <c r="KX19" s="43"/>
      <c r="KY19" s="43"/>
      <c r="KZ19" s="43"/>
      <c r="LA19" s="43"/>
      <c r="LB19" s="43"/>
      <c r="LC19" s="43"/>
      <c r="LD19" s="43"/>
      <c r="LE19" s="43"/>
      <c r="LF19" s="43"/>
      <c r="LG19" s="43"/>
      <c r="LH19" s="43"/>
      <c r="LI19" s="43"/>
      <c r="LJ19" s="43"/>
      <c r="LK19" s="43"/>
      <c r="LL19" s="43"/>
      <c r="LM19" s="43"/>
      <c r="LN19" s="43"/>
      <c r="LO19" s="43"/>
      <c r="LP19" s="43"/>
      <c r="LQ19" s="43"/>
      <c r="LR19" s="43"/>
      <c r="LS19" s="43"/>
      <c r="LT19" s="43"/>
      <c r="LU19" s="43"/>
      <c r="LV19" s="43"/>
      <c r="LW19" s="43"/>
      <c r="LX19" s="43"/>
      <c r="LY19" s="43"/>
      <c r="LZ19" s="43"/>
      <c r="MA19" s="43"/>
      <c r="MB19" s="43"/>
      <c r="MC19" s="43"/>
      <c r="MD19" s="43"/>
      <c r="ME19" s="43"/>
      <c r="MF19" s="43"/>
      <c r="MG19" s="43"/>
      <c r="MH19" s="43"/>
      <c r="MI19" s="43"/>
      <c r="MJ19" s="43"/>
      <c r="MK19" s="43"/>
      <c r="ML19" s="43"/>
      <c r="MM19" s="43"/>
      <c r="MN19" s="43"/>
      <c r="MO19" s="43"/>
      <c r="MP19" s="43"/>
      <c r="MQ19" s="43"/>
      <c r="MR19" s="43"/>
      <c r="MS19" s="43"/>
      <c r="MT19" s="43"/>
      <c r="MU19" s="43"/>
      <c r="MV19" s="43"/>
      <c r="MW19" s="43"/>
      <c r="MX19" s="43"/>
      <c r="MY19" s="43"/>
      <c r="MZ19" s="43"/>
      <c r="NA19" s="43"/>
      <c r="NB19" s="43"/>
      <c r="NC19" s="43"/>
      <c r="ND19" s="43"/>
      <c r="NE19" s="43"/>
      <c r="NF19" s="43"/>
      <c r="NG19" s="43"/>
      <c r="NH19" s="43"/>
      <c r="NI19" s="43"/>
      <c r="NJ19" s="43"/>
      <c r="NK19" s="43"/>
      <c r="NL19" s="43"/>
      <c r="NM19" s="43"/>
      <c r="NN19" s="43"/>
      <c r="NO19" s="43"/>
      <c r="NP19" s="43"/>
      <c r="NQ19" s="43"/>
    </row>
    <row r="20" ht="12.0" customHeight="1">
      <c r="A20" s="55">
        <v>4.0</v>
      </c>
      <c r="B20" s="56" t="s">
        <v>28</v>
      </c>
      <c r="C20" s="40"/>
      <c r="D20" s="57"/>
      <c r="E20" s="58"/>
      <c r="F20" s="58" t="str">
        <f t="shared" si="3"/>
        <v> - </v>
      </c>
      <c r="G20" s="59"/>
      <c r="H20" s="60"/>
      <c r="I20" s="59" t="str">
        <f t="shared" si="4"/>
        <v> - </v>
      </c>
      <c r="J20" s="61"/>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3"/>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c r="JA20" s="40"/>
      <c r="JB20" s="40"/>
      <c r="JC20" s="40"/>
      <c r="JD20" s="40"/>
      <c r="JE20" s="40"/>
      <c r="JF20" s="40"/>
      <c r="JG20" s="40"/>
      <c r="JH20" s="40"/>
      <c r="JI20" s="40"/>
      <c r="JJ20" s="40"/>
      <c r="JK20" s="40"/>
      <c r="JL20" s="40"/>
      <c r="JM20" s="40"/>
      <c r="JN20" s="40"/>
      <c r="JO20" s="40"/>
      <c r="JP20" s="40"/>
      <c r="JQ20" s="40"/>
      <c r="JR20" s="40"/>
      <c r="JS20" s="40"/>
      <c r="JT20" s="40"/>
      <c r="JU20" s="40"/>
      <c r="JV20" s="40"/>
      <c r="JW20" s="40"/>
      <c r="JX20" s="40"/>
      <c r="JY20" s="40"/>
      <c r="JZ20" s="40"/>
      <c r="KA20" s="40"/>
      <c r="KB20" s="40"/>
      <c r="KC20" s="40"/>
      <c r="KD20" s="40"/>
      <c r="KE20" s="40"/>
      <c r="KF20" s="40"/>
      <c r="KG20" s="40"/>
      <c r="KH20" s="40"/>
      <c r="KI20" s="40"/>
      <c r="KJ20" s="40"/>
      <c r="KK20" s="40"/>
      <c r="KL20" s="40"/>
      <c r="KM20" s="40"/>
      <c r="KN20" s="40"/>
      <c r="KO20" s="40"/>
      <c r="KP20" s="40"/>
      <c r="KQ20" s="40"/>
      <c r="KR20" s="40"/>
      <c r="KS20" s="40"/>
      <c r="KT20" s="40"/>
      <c r="KU20" s="40"/>
      <c r="KV20" s="40"/>
      <c r="KW20" s="40"/>
      <c r="KX20" s="40"/>
      <c r="KY20" s="40"/>
      <c r="KZ20" s="40"/>
      <c r="LA20" s="40"/>
      <c r="LB20" s="40"/>
      <c r="LC20" s="40"/>
      <c r="LD20" s="40"/>
      <c r="LE20" s="40"/>
      <c r="LF20" s="40"/>
      <c r="LG20" s="40"/>
      <c r="LH20" s="40"/>
      <c r="LI20" s="40"/>
      <c r="LJ20" s="40"/>
      <c r="LK20" s="40"/>
      <c r="LL20" s="40"/>
      <c r="LM20" s="40"/>
      <c r="LN20" s="40"/>
      <c r="LO20" s="40"/>
      <c r="LP20" s="40"/>
      <c r="LQ20" s="40"/>
      <c r="LR20" s="40"/>
      <c r="LS20" s="40"/>
      <c r="LT20" s="40"/>
      <c r="LU20" s="40"/>
      <c r="LV20" s="40"/>
      <c r="LW20" s="40"/>
      <c r="LX20" s="40"/>
      <c r="LY20" s="40"/>
      <c r="LZ20" s="40"/>
      <c r="MA20" s="40"/>
      <c r="MB20" s="40"/>
      <c r="MC20" s="40"/>
      <c r="MD20" s="40"/>
      <c r="ME20" s="40"/>
      <c r="MF20" s="40"/>
      <c r="MG20" s="40"/>
      <c r="MH20" s="40"/>
      <c r="MI20" s="40"/>
      <c r="MJ20" s="40"/>
      <c r="MK20" s="40"/>
      <c r="ML20" s="40"/>
      <c r="MM20" s="40"/>
      <c r="MN20" s="40"/>
      <c r="MO20" s="40"/>
      <c r="MP20" s="40"/>
      <c r="MQ20" s="40"/>
      <c r="MR20" s="40"/>
      <c r="MS20" s="40"/>
      <c r="MT20" s="40"/>
      <c r="MU20" s="40"/>
      <c r="MV20" s="40"/>
      <c r="MW20" s="40"/>
      <c r="MX20" s="40"/>
      <c r="MY20" s="40"/>
      <c r="MZ20" s="40"/>
      <c r="NA20" s="40"/>
      <c r="NB20" s="40"/>
      <c r="NC20" s="40"/>
      <c r="ND20" s="40"/>
      <c r="NE20" s="40"/>
      <c r="NF20" s="40"/>
      <c r="NG20" s="40"/>
      <c r="NH20" s="40"/>
      <c r="NI20" s="40"/>
      <c r="NJ20" s="40"/>
      <c r="NK20" s="40"/>
      <c r="NL20" s="40"/>
      <c r="NM20" s="40"/>
      <c r="NN20" s="40"/>
      <c r="NO20" s="40"/>
      <c r="NP20" s="40"/>
      <c r="NQ20" s="40"/>
    </row>
    <row r="21" ht="12.0" customHeight="1">
      <c r="A21" s="41">
        <v>46026.0</v>
      </c>
      <c r="B21" s="42" t="s">
        <v>29</v>
      </c>
      <c r="C21" s="63" t="s">
        <v>16</v>
      </c>
      <c r="D21" s="44"/>
      <c r="E21" s="45">
        <v>46148.0</v>
      </c>
      <c r="F21" s="46">
        <f t="shared" si="3"/>
        <v>46157</v>
      </c>
      <c r="G21" s="47">
        <v>10.0</v>
      </c>
      <c r="H21" s="48">
        <v>0.0</v>
      </c>
      <c r="I21" s="49">
        <f t="shared" si="4"/>
        <v>8</v>
      </c>
      <c r="J21" s="50"/>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c r="DQ21" s="43"/>
      <c r="DR21" s="43"/>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c r="GX21" s="43"/>
      <c r="GY21" s="43"/>
      <c r="GZ21" s="43"/>
      <c r="HA21" s="43"/>
      <c r="HB21" s="43"/>
      <c r="HC21" s="43"/>
      <c r="HD21" s="43"/>
      <c r="HE21" s="43"/>
      <c r="HF21" s="43"/>
      <c r="HG21" s="43"/>
      <c r="HH21" s="43"/>
      <c r="HI21" s="43"/>
      <c r="HJ21" s="43"/>
      <c r="HK21" s="43"/>
      <c r="HL21" s="43"/>
      <c r="HM21" s="43"/>
      <c r="HN21" s="43"/>
      <c r="HO21" s="43"/>
      <c r="HP21" s="43"/>
      <c r="HQ21" s="43"/>
      <c r="HR21" s="43"/>
      <c r="HS21" s="43"/>
      <c r="HT21" s="51"/>
      <c r="HU21" s="51"/>
      <c r="HV21" s="51"/>
      <c r="HW21" s="51"/>
      <c r="HX21" s="51"/>
      <c r="HY21" s="51"/>
      <c r="HZ21" s="51"/>
      <c r="IA21" s="51"/>
      <c r="IB21" s="51"/>
      <c r="IC21" s="51"/>
      <c r="ID21" s="51"/>
      <c r="IE21" s="51"/>
      <c r="IF21" s="51"/>
      <c r="IG21" s="51"/>
      <c r="IH21" s="51"/>
      <c r="II21" s="51"/>
      <c r="IJ21" s="51"/>
      <c r="IK21" s="51"/>
      <c r="IL21" s="51"/>
      <c r="IM21" s="51"/>
      <c r="IN21" s="51"/>
      <c r="IO21" s="51"/>
      <c r="IP21" s="51"/>
      <c r="IQ21" s="51"/>
      <c r="IR21" s="51"/>
      <c r="IS21" s="51"/>
      <c r="IT21" s="51"/>
      <c r="IU21" s="51"/>
      <c r="IV21" s="51"/>
      <c r="IW21" s="51"/>
      <c r="IX21" s="51"/>
      <c r="IY21" s="51"/>
      <c r="IZ21" s="43"/>
      <c r="JA21" s="43"/>
      <c r="JB21" s="43"/>
      <c r="JC21" s="43"/>
      <c r="JD21" s="43"/>
      <c r="JE21" s="43"/>
      <c r="JF21" s="43"/>
      <c r="JG21" s="43"/>
      <c r="JH21" s="43"/>
      <c r="JI21" s="43"/>
      <c r="JJ21" s="43"/>
      <c r="JK21" s="43"/>
      <c r="JL21" s="43"/>
      <c r="JM21" s="43"/>
      <c r="JN21" s="43"/>
      <c r="JO21" s="43"/>
      <c r="JP21" s="43"/>
      <c r="JQ21" s="43"/>
      <c r="JR21" s="43"/>
      <c r="JS21" s="43"/>
      <c r="JT21" s="43"/>
      <c r="JU21" s="43"/>
      <c r="JV21" s="43"/>
      <c r="JW21" s="43"/>
      <c r="JX21" s="43"/>
      <c r="JY21" s="43"/>
      <c r="JZ21" s="43"/>
      <c r="KA21" s="43"/>
      <c r="KB21" s="43"/>
      <c r="KC21" s="43"/>
      <c r="KD21" s="43"/>
      <c r="KE21" s="43"/>
      <c r="KF21" s="43"/>
      <c r="KG21" s="43"/>
      <c r="KH21" s="43"/>
      <c r="KI21" s="43"/>
      <c r="KJ21" s="43"/>
      <c r="KK21" s="43"/>
      <c r="KL21" s="43"/>
      <c r="KM21" s="43"/>
      <c r="KN21" s="43"/>
      <c r="KO21" s="43"/>
      <c r="KP21" s="43"/>
      <c r="KQ21" s="43"/>
      <c r="KR21" s="43"/>
      <c r="KS21" s="43"/>
      <c r="KT21" s="43"/>
      <c r="KU21" s="43"/>
      <c r="KV21" s="43"/>
      <c r="KW21" s="43"/>
      <c r="KX21" s="43"/>
      <c r="KY21" s="43"/>
      <c r="KZ21" s="43"/>
      <c r="LA21" s="43"/>
      <c r="LB21" s="43"/>
      <c r="LC21" s="43"/>
      <c r="LD21" s="43"/>
      <c r="LE21" s="43"/>
      <c r="LF21" s="43"/>
      <c r="LG21" s="43"/>
      <c r="LH21" s="43"/>
      <c r="LI21" s="43"/>
      <c r="LJ21" s="43"/>
      <c r="LK21" s="43"/>
      <c r="LL21" s="43"/>
      <c r="LM21" s="43"/>
      <c r="LN21" s="43"/>
      <c r="LO21" s="43"/>
      <c r="LP21" s="43"/>
      <c r="LQ21" s="43"/>
      <c r="LR21" s="43"/>
      <c r="LS21" s="43"/>
      <c r="LT21" s="43"/>
      <c r="LU21" s="43"/>
      <c r="LV21" s="43"/>
      <c r="LW21" s="43"/>
      <c r="LX21" s="43"/>
      <c r="LY21" s="43"/>
      <c r="LZ21" s="43"/>
      <c r="MA21" s="43"/>
      <c r="MB21" s="43"/>
      <c r="MC21" s="43"/>
      <c r="MD21" s="43"/>
      <c r="ME21" s="43"/>
      <c r="MF21" s="43"/>
      <c r="MG21" s="43"/>
      <c r="MH21" s="43"/>
      <c r="MI21" s="43"/>
      <c r="MJ21" s="43"/>
      <c r="MK21" s="43"/>
      <c r="ML21" s="43"/>
      <c r="MM21" s="43"/>
      <c r="MN21" s="43"/>
      <c r="MO21" s="43"/>
      <c r="MP21" s="43"/>
      <c r="MQ21" s="43"/>
      <c r="MR21" s="43"/>
      <c r="MS21" s="43"/>
      <c r="MT21" s="43"/>
      <c r="MU21" s="43"/>
      <c r="MV21" s="43"/>
      <c r="MW21" s="43"/>
      <c r="MX21" s="43"/>
      <c r="MY21" s="43"/>
      <c r="MZ21" s="43"/>
      <c r="NA21" s="43"/>
      <c r="NB21" s="43"/>
      <c r="NC21" s="43"/>
      <c r="ND21" s="43"/>
      <c r="NE21" s="43"/>
      <c r="NF21" s="43"/>
      <c r="NG21" s="43"/>
      <c r="NH21" s="43"/>
      <c r="NI21" s="43"/>
      <c r="NJ21" s="43"/>
      <c r="NK21" s="43"/>
      <c r="NL21" s="43"/>
      <c r="NM21" s="43"/>
      <c r="NN21" s="43"/>
      <c r="NO21" s="43"/>
      <c r="NP21" s="43"/>
      <c r="NQ21" s="43"/>
    </row>
    <row r="22" ht="12.0" customHeight="1">
      <c r="A22" s="41">
        <v>46057.0</v>
      </c>
      <c r="B22" s="42" t="s">
        <v>30</v>
      </c>
      <c r="C22" s="63" t="s">
        <v>16</v>
      </c>
      <c r="D22" s="44"/>
      <c r="E22" s="45">
        <v>46157.0</v>
      </c>
      <c r="F22" s="46">
        <f t="shared" si="3"/>
        <v>46171</v>
      </c>
      <c r="G22" s="47">
        <v>15.0</v>
      </c>
      <c r="H22" s="48">
        <v>0.0</v>
      </c>
      <c r="I22" s="49">
        <f t="shared" si="4"/>
        <v>11</v>
      </c>
      <c r="J22" s="65"/>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c r="CT22" s="66"/>
      <c r="CU22" s="66"/>
      <c r="CV22" s="66"/>
      <c r="CW22" s="66"/>
      <c r="CX22" s="66"/>
      <c r="CY22" s="66"/>
      <c r="CZ22" s="66"/>
      <c r="DA22" s="66"/>
      <c r="DB22" s="66"/>
      <c r="DC22" s="66"/>
      <c r="DD22" s="66"/>
      <c r="DE22" s="66"/>
      <c r="DF22" s="66"/>
      <c r="DG22" s="66"/>
      <c r="DH22" s="66"/>
      <c r="DI22" s="66"/>
      <c r="DJ22" s="43"/>
      <c r="DK22" s="66"/>
      <c r="DL22" s="66"/>
      <c r="DM22" s="66"/>
      <c r="DN22" s="66"/>
      <c r="DO22" s="66"/>
      <c r="DP22" s="66"/>
      <c r="DQ22" s="66"/>
      <c r="DR22" s="66"/>
      <c r="DS22" s="66"/>
      <c r="DT22" s="66"/>
      <c r="DU22" s="66"/>
      <c r="DV22" s="66"/>
      <c r="DW22" s="66"/>
      <c r="DX22" s="66"/>
      <c r="DY22" s="66"/>
      <c r="DZ22" s="66"/>
      <c r="EA22" s="66"/>
      <c r="EB22" s="66"/>
      <c r="EC22" s="66"/>
      <c r="ED22" s="66"/>
      <c r="EE22" s="66"/>
      <c r="EF22" s="66"/>
      <c r="EG22" s="66"/>
      <c r="EH22" s="66"/>
      <c r="EI22" s="66"/>
      <c r="EJ22" s="66"/>
      <c r="EK22" s="66"/>
      <c r="EL22" s="66"/>
      <c r="EM22" s="66"/>
      <c r="EN22" s="66"/>
      <c r="EO22" s="66"/>
      <c r="EP22" s="66"/>
      <c r="EQ22" s="66"/>
      <c r="ER22" s="66"/>
      <c r="ES22" s="66"/>
      <c r="ET22" s="66"/>
      <c r="EU22" s="66"/>
      <c r="EV22" s="66"/>
      <c r="EW22" s="66"/>
      <c r="EX22" s="66"/>
      <c r="EY22" s="66"/>
      <c r="EZ22" s="66"/>
      <c r="FA22" s="66"/>
      <c r="FB22" s="66"/>
      <c r="FC22" s="66"/>
      <c r="FD22" s="66"/>
      <c r="FE22" s="66"/>
      <c r="FF22" s="66"/>
      <c r="FG22" s="66"/>
      <c r="FH22" s="66"/>
      <c r="FI22" s="66"/>
      <c r="FJ22" s="66"/>
      <c r="FK22" s="66"/>
      <c r="FL22" s="66"/>
      <c r="FM22" s="66"/>
      <c r="FN22" s="66"/>
      <c r="FO22" s="66"/>
      <c r="FP22" s="66"/>
      <c r="FQ22" s="66"/>
      <c r="FR22" s="66"/>
      <c r="FS22" s="66"/>
      <c r="FT22" s="66"/>
      <c r="FU22" s="66"/>
      <c r="FV22" s="66"/>
      <c r="FW22" s="66"/>
      <c r="FX22" s="66"/>
      <c r="FY22" s="66"/>
      <c r="FZ22" s="66"/>
      <c r="GA22" s="66"/>
      <c r="GB22" s="66"/>
      <c r="GC22" s="66"/>
      <c r="GD22" s="66"/>
      <c r="GE22" s="66"/>
      <c r="GF22" s="66"/>
      <c r="GG22" s="66"/>
      <c r="GH22" s="66"/>
      <c r="GI22" s="66"/>
      <c r="GJ22" s="66"/>
      <c r="GK22" s="66"/>
      <c r="GL22" s="66"/>
      <c r="GM22" s="66"/>
      <c r="GN22" s="66"/>
      <c r="GO22" s="66"/>
      <c r="GP22" s="66"/>
      <c r="GQ22" s="66"/>
      <c r="GR22" s="66"/>
      <c r="GS22" s="66"/>
      <c r="GT22" s="66"/>
      <c r="GU22" s="66"/>
      <c r="GV22" s="66"/>
      <c r="GW22" s="66"/>
      <c r="GX22" s="66"/>
      <c r="GY22" s="66"/>
      <c r="GZ22" s="66"/>
      <c r="HA22" s="66"/>
      <c r="HB22" s="66"/>
      <c r="HC22" s="66"/>
      <c r="HD22" s="66"/>
      <c r="HE22" s="66"/>
      <c r="HF22" s="66"/>
      <c r="HG22" s="66"/>
      <c r="HH22" s="66"/>
      <c r="HI22" s="66"/>
      <c r="HJ22" s="66"/>
      <c r="HK22" s="66"/>
      <c r="HL22" s="66"/>
      <c r="HM22" s="66"/>
      <c r="HN22" s="66"/>
      <c r="HO22" s="66"/>
      <c r="HP22" s="66"/>
      <c r="HQ22" s="66"/>
      <c r="HR22" s="66"/>
      <c r="HS22" s="66"/>
      <c r="HT22" s="66"/>
      <c r="HU22" s="66"/>
      <c r="HV22" s="66"/>
      <c r="HW22" s="66"/>
      <c r="HX22" s="66"/>
      <c r="HY22" s="66"/>
      <c r="HZ22" s="66"/>
      <c r="IA22" s="66"/>
      <c r="IB22" s="66"/>
      <c r="IC22" s="66"/>
      <c r="ID22" s="66"/>
      <c r="IE22" s="66"/>
      <c r="IF22" s="66"/>
      <c r="IG22" s="66"/>
      <c r="IH22" s="66"/>
      <c r="II22" s="51"/>
      <c r="IJ22" s="51"/>
      <c r="IK22" s="51"/>
      <c r="IL22" s="51"/>
      <c r="IM22" s="51"/>
      <c r="IN22" s="51"/>
      <c r="IO22" s="51"/>
      <c r="IP22" s="51"/>
      <c r="IQ22" s="51"/>
      <c r="IR22" s="51"/>
      <c r="IS22" s="51"/>
      <c r="IT22" s="51"/>
      <c r="IU22" s="51"/>
      <c r="IV22" s="51"/>
      <c r="IW22" s="51"/>
      <c r="IX22" s="51"/>
      <c r="IY22" s="51"/>
      <c r="IZ22" s="51"/>
      <c r="JA22" s="51"/>
      <c r="JB22" s="51"/>
      <c r="JC22" s="51"/>
      <c r="JD22" s="51"/>
      <c r="JE22" s="51"/>
      <c r="JF22" s="51"/>
      <c r="JG22" s="51"/>
      <c r="JH22" s="51"/>
      <c r="JI22" s="51"/>
      <c r="JJ22" s="51"/>
      <c r="JK22" s="51"/>
      <c r="JL22" s="51"/>
      <c r="JM22" s="51"/>
      <c r="JN22" s="51"/>
      <c r="JO22" s="51"/>
      <c r="JP22" s="51"/>
      <c r="JQ22" s="51"/>
      <c r="JR22" s="51"/>
      <c r="JS22" s="66"/>
      <c r="JT22" s="66"/>
      <c r="JU22" s="66"/>
      <c r="JV22" s="66"/>
      <c r="JW22" s="66"/>
      <c r="JX22" s="66"/>
      <c r="JY22" s="66"/>
      <c r="JZ22" s="66"/>
      <c r="KA22" s="66"/>
      <c r="KB22" s="66"/>
      <c r="KC22" s="66"/>
      <c r="KD22" s="66"/>
      <c r="KE22" s="66"/>
      <c r="KF22" s="66"/>
      <c r="KG22" s="66"/>
      <c r="KH22" s="66"/>
      <c r="KI22" s="66"/>
      <c r="KJ22" s="66"/>
      <c r="KK22" s="66"/>
      <c r="KL22" s="66"/>
      <c r="KM22" s="66"/>
      <c r="KN22" s="66"/>
      <c r="KO22" s="66"/>
      <c r="KP22" s="66"/>
      <c r="KQ22" s="66"/>
      <c r="KR22" s="66"/>
      <c r="KS22" s="66"/>
      <c r="KT22" s="66"/>
      <c r="KU22" s="66"/>
      <c r="KV22" s="66"/>
      <c r="KW22" s="66"/>
      <c r="KX22" s="66"/>
      <c r="KY22" s="66"/>
      <c r="KZ22" s="66"/>
      <c r="LA22" s="66"/>
      <c r="LB22" s="66"/>
      <c r="LC22" s="66"/>
      <c r="LD22" s="66"/>
      <c r="LE22" s="66"/>
      <c r="LF22" s="66"/>
      <c r="LG22" s="66"/>
      <c r="LH22" s="66"/>
      <c r="LI22" s="66"/>
      <c r="LJ22" s="66"/>
      <c r="LK22" s="66"/>
      <c r="LL22" s="66"/>
      <c r="LM22" s="66"/>
      <c r="LN22" s="66"/>
      <c r="LO22" s="66"/>
      <c r="LP22" s="66"/>
      <c r="LQ22" s="66"/>
      <c r="LR22" s="66"/>
      <c r="LS22" s="66"/>
      <c r="LT22" s="66"/>
      <c r="LU22" s="66"/>
      <c r="LV22" s="66"/>
      <c r="LW22" s="66"/>
      <c r="LX22" s="66"/>
      <c r="LY22" s="66"/>
      <c r="LZ22" s="66"/>
      <c r="MA22" s="66"/>
      <c r="MB22" s="66"/>
      <c r="MC22" s="66"/>
      <c r="MD22" s="66"/>
      <c r="ME22" s="66"/>
      <c r="MF22" s="66"/>
      <c r="MG22" s="66"/>
      <c r="MH22" s="66"/>
      <c r="MI22" s="66"/>
      <c r="MJ22" s="66"/>
      <c r="MK22" s="66"/>
      <c r="ML22" s="66"/>
      <c r="MM22" s="66"/>
      <c r="MN22" s="66"/>
      <c r="MO22" s="66"/>
      <c r="MP22" s="66"/>
      <c r="MQ22" s="66"/>
      <c r="MR22" s="66"/>
      <c r="MS22" s="66"/>
      <c r="MT22" s="66"/>
      <c r="MU22" s="66"/>
      <c r="MV22" s="66"/>
      <c r="MW22" s="66"/>
      <c r="MX22" s="66"/>
      <c r="MY22" s="66"/>
      <c r="MZ22" s="66"/>
      <c r="NA22" s="66"/>
      <c r="NB22" s="66"/>
      <c r="NC22" s="66"/>
      <c r="ND22" s="66"/>
      <c r="NE22" s="66"/>
      <c r="NF22" s="66"/>
      <c r="NG22" s="66"/>
      <c r="NH22" s="66"/>
      <c r="NI22" s="66"/>
      <c r="NJ22" s="66"/>
      <c r="NK22" s="66"/>
      <c r="NL22" s="66"/>
      <c r="NM22" s="66"/>
      <c r="NN22" s="66"/>
      <c r="NO22" s="66"/>
      <c r="NP22" s="66"/>
      <c r="NQ22" s="66"/>
    </row>
    <row r="23" ht="12.0" customHeight="1">
      <c r="A23" s="41">
        <v>46085.0</v>
      </c>
      <c r="B23" s="42" t="s">
        <v>31</v>
      </c>
      <c r="C23" s="63" t="s">
        <v>21</v>
      </c>
      <c r="D23" s="44"/>
      <c r="E23" s="45">
        <v>46172.0</v>
      </c>
      <c r="F23" s="46">
        <f t="shared" si="3"/>
        <v>46181</v>
      </c>
      <c r="G23" s="47">
        <v>10.0</v>
      </c>
      <c r="H23" s="48">
        <v>0.0</v>
      </c>
      <c r="I23" s="49">
        <f t="shared" si="4"/>
        <v>6</v>
      </c>
      <c r="J23" s="67"/>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c r="CT23" s="66"/>
      <c r="CU23" s="66"/>
      <c r="CV23" s="66"/>
      <c r="CW23" s="66"/>
      <c r="CX23" s="66"/>
      <c r="CY23" s="66"/>
      <c r="CZ23" s="66"/>
      <c r="DA23" s="66"/>
      <c r="DB23" s="66"/>
      <c r="DC23" s="66"/>
      <c r="DD23" s="66"/>
      <c r="DE23" s="66"/>
      <c r="DF23" s="66"/>
      <c r="DG23" s="66"/>
      <c r="DH23" s="66"/>
      <c r="DI23" s="66"/>
      <c r="DJ23" s="43"/>
      <c r="DK23" s="66"/>
      <c r="DL23" s="66"/>
      <c r="DM23" s="66"/>
      <c r="DN23" s="66"/>
      <c r="DO23" s="66"/>
      <c r="DP23" s="66"/>
      <c r="DQ23" s="66"/>
      <c r="DR23" s="66"/>
      <c r="DS23" s="66"/>
      <c r="DT23" s="66"/>
      <c r="DU23" s="66"/>
      <c r="DV23" s="66"/>
      <c r="DW23" s="66"/>
      <c r="DX23" s="66"/>
      <c r="DY23" s="66"/>
      <c r="DZ23" s="66"/>
      <c r="EA23" s="66"/>
      <c r="EB23" s="66"/>
      <c r="EC23" s="66"/>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c r="FO23" s="66"/>
      <c r="FP23" s="66"/>
      <c r="FQ23" s="66"/>
      <c r="FR23" s="66"/>
      <c r="FS23" s="66"/>
      <c r="FT23" s="66"/>
      <c r="FU23" s="66"/>
      <c r="FV23" s="66"/>
      <c r="FW23" s="66"/>
      <c r="FX23" s="66"/>
      <c r="FY23" s="66"/>
      <c r="FZ23" s="66"/>
      <c r="GA23" s="66"/>
      <c r="GB23" s="66"/>
      <c r="GC23" s="66"/>
      <c r="GD23" s="66"/>
      <c r="GE23" s="66"/>
      <c r="GF23" s="66"/>
      <c r="GG23" s="66"/>
      <c r="GH23" s="66"/>
      <c r="GI23" s="66"/>
      <c r="GJ23" s="66"/>
      <c r="GK23" s="66"/>
      <c r="GL23" s="66"/>
      <c r="GM23" s="66"/>
      <c r="GN23" s="66"/>
      <c r="GO23" s="66"/>
      <c r="GP23" s="66"/>
      <c r="GQ23" s="66"/>
      <c r="GR23" s="66"/>
      <c r="GS23" s="66"/>
      <c r="GT23" s="66"/>
      <c r="GU23" s="66"/>
      <c r="GV23" s="66"/>
      <c r="GW23" s="66"/>
      <c r="GX23" s="66"/>
      <c r="GY23" s="66"/>
      <c r="GZ23" s="66"/>
      <c r="HA23" s="66"/>
      <c r="HB23" s="66"/>
      <c r="HC23" s="66"/>
      <c r="HD23" s="66"/>
      <c r="HE23" s="66"/>
      <c r="HF23" s="66"/>
      <c r="HG23" s="66"/>
      <c r="HH23" s="66"/>
      <c r="HI23" s="66"/>
      <c r="HJ23" s="66"/>
      <c r="HK23" s="66"/>
      <c r="HL23" s="66"/>
      <c r="HM23" s="66"/>
      <c r="HN23" s="66"/>
      <c r="HO23" s="66"/>
      <c r="HP23" s="66"/>
      <c r="HQ23" s="66"/>
      <c r="HR23" s="66"/>
      <c r="HS23" s="66"/>
      <c r="HT23" s="66"/>
      <c r="HU23" s="66"/>
      <c r="HV23" s="66"/>
      <c r="HW23" s="66"/>
      <c r="HX23" s="66"/>
      <c r="HY23" s="66"/>
      <c r="HZ23" s="66"/>
      <c r="IA23" s="66"/>
      <c r="IB23" s="66"/>
      <c r="IC23" s="66"/>
      <c r="ID23" s="66"/>
      <c r="IE23" s="66"/>
      <c r="IF23" s="66"/>
      <c r="IG23" s="66"/>
      <c r="IH23" s="66"/>
      <c r="II23" s="66"/>
      <c r="IJ23" s="66"/>
      <c r="IK23" s="66"/>
      <c r="IL23" s="66"/>
      <c r="IM23" s="66"/>
      <c r="IN23" s="66"/>
      <c r="IO23" s="66"/>
      <c r="IP23" s="66"/>
      <c r="IQ23" s="66"/>
      <c r="IR23" s="66"/>
      <c r="IS23" s="66"/>
      <c r="IT23" s="66"/>
      <c r="IU23" s="66"/>
      <c r="IV23" s="66"/>
      <c r="IW23" s="66"/>
      <c r="IX23" s="66"/>
      <c r="IY23" s="66"/>
      <c r="IZ23" s="66"/>
      <c r="JA23" s="66"/>
      <c r="JB23" s="66"/>
      <c r="JC23" s="51"/>
      <c r="JD23" s="51"/>
      <c r="JE23" s="51"/>
      <c r="JF23" s="51"/>
      <c r="JG23" s="51"/>
      <c r="JH23" s="51"/>
      <c r="JI23" s="51"/>
      <c r="JJ23" s="51"/>
      <c r="JK23" s="51"/>
      <c r="JL23" s="51"/>
      <c r="JM23" s="51"/>
      <c r="JN23" s="51"/>
      <c r="JO23" s="51"/>
      <c r="JP23" s="51"/>
      <c r="JQ23" s="51"/>
      <c r="JR23" s="51"/>
      <c r="JS23" s="51"/>
      <c r="JT23" s="51"/>
      <c r="JU23" s="51"/>
      <c r="JV23" s="51"/>
      <c r="JW23" s="51"/>
      <c r="JX23" s="51"/>
      <c r="JY23" s="51"/>
      <c r="JZ23" s="51"/>
      <c r="KA23" s="51"/>
      <c r="KB23" s="51"/>
      <c r="KC23" s="51"/>
      <c r="KD23" s="51"/>
      <c r="KE23" s="51"/>
      <c r="KF23" s="51"/>
      <c r="KG23" s="51"/>
      <c r="KH23" s="66"/>
      <c r="KI23" s="66"/>
      <c r="KJ23" s="66"/>
      <c r="KK23" s="66"/>
      <c r="KL23" s="66"/>
      <c r="KM23" s="66"/>
      <c r="KN23" s="66"/>
      <c r="KO23" s="66"/>
      <c r="KP23" s="66"/>
      <c r="KQ23" s="66"/>
      <c r="KR23" s="66"/>
      <c r="KS23" s="66"/>
      <c r="KT23" s="66"/>
      <c r="KU23" s="66"/>
      <c r="KV23" s="66"/>
      <c r="KW23" s="66"/>
      <c r="KX23" s="66"/>
      <c r="KY23" s="66"/>
      <c r="KZ23" s="66"/>
      <c r="LA23" s="66"/>
      <c r="LB23" s="66"/>
      <c r="LC23" s="66"/>
      <c r="LD23" s="66"/>
      <c r="LE23" s="66"/>
      <c r="LF23" s="66"/>
      <c r="LG23" s="66"/>
      <c r="LH23" s="66"/>
      <c r="LI23" s="66"/>
      <c r="LJ23" s="66"/>
      <c r="LK23" s="66"/>
      <c r="LL23" s="66"/>
      <c r="LM23" s="66"/>
      <c r="LN23" s="66"/>
      <c r="LO23" s="66"/>
      <c r="LP23" s="66"/>
      <c r="LQ23" s="66"/>
      <c r="LR23" s="66"/>
      <c r="LS23" s="66"/>
      <c r="LT23" s="66"/>
      <c r="LU23" s="66"/>
      <c r="LV23" s="66"/>
      <c r="LW23" s="66"/>
      <c r="LX23" s="66"/>
      <c r="LY23" s="66"/>
      <c r="LZ23" s="66"/>
      <c r="MA23" s="66"/>
      <c r="MB23" s="66"/>
      <c r="MC23" s="66"/>
      <c r="MD23" s="66"/>
      <c r="ME23" s="66"/>
      <c r="MF23" s="66"/>
      <c r="MG23" s="66"/>
      <c r="MH23" s="66"/>
      <c r="MI23" s="66"/>
      <c r="MJ23" s="66"/>
      <c r="MK23" s="66"/>
      <c r="ML23" s="66"/>
      <c r="MM23" s="66"/>
      <c r="MN23" s="66"/>
      <c r="MO23" s="66"/>
      <c r="MP23" s="66"/>
      <c r="MQ23" s="66"/>
      <c r="MR23" s="66"/>
      <c r="MS23" s="66"/>
      <c r="MT23" s="66"/>
      <c r="MU23" s="66"/>
      <c r="MV23" s="66"/>
      <c r="MW23" s="66"/>
      <c r="MX23" s="66"/>
      <c r="MY23" s="66"/>
      <c r="MZ23" s="66"/>
      <c r="NA23" s="66"/>
      <c r="NB23" s="66"/>
      <c r="NC23" s="66"/>
      <c r="ND23" s="66"/>
      <c r="NE23" s="66"/>
      <c r="NF23" s="66"/>
      <c r="NG23" s="66"/>
      <c r="NH23" s="66"/>
      <c r="NI23" s="66"/>
      <c r="NJ23" s="66"/>
      <c r="NK23" s="66"/>
      <c r="NL23" s="66"/>
      <c r="NM23" s="66"/>
      <c r="NN23" s="66"/>
      <c r="NO23" s="66"/>
      <c r="NP23" s="66"/>
      <c r="NQ23" s="66"/>
    </row>
    <row r="24" ht="12.0" customHeight="1">
      <c r="A24" s="55">
        <v>5.0</v>
      </c>
      <c r="B24" s="56" t="s">
        <v>32</v>
      </c>
      <c r="C24" s="40"/>
      <c r="D24" s="57"/>
      <c r="E24" s="58"/>
      <c r="F24" s="58" t="str">
        <f t="shared" si="3"/>
        <v> - </v>
      </c>
      <c r="G24" s="59"/>
      <c r="H24" s="60"/>
      <c r="I24" s="59" t="str">
        <f t="shared" si="4"/>
        <v> - </v>
      </c>
      <c r="J24" s="61"/>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c r="BM24" s="62"/>
      <c r="BN24" s="62"/>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3"/>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c r="IW24" s="40"/>
      <c r="IX24" s="40"/>
      <c r="IY24" s="40"/>
      <c r="IZ24" s="40"/>
      <c r="JA24" s="40"/>
      <c r="JB24" s="40"/>
      <c r="JC24" s="40"/>
      <c r="JD24" s="40"/>
      <c r="JE24" s="40"/>
      <c r="JF24" s="40"/>
      <c r="JG24" s="40"/>
      <c r="JH24" s="40"/>
      <c r="JI24" s="40"/>
      <c r="JJ24" s="40"/>
      <c r="JK24" s="40"/>
      <c r="JL24" s="40"/>
      <c r="JM24" s="40"/>
      <c r="JN24" s="40"/>
      <c r="JO24" s="40"/>
      <c r="JP24" s="40"/>
      <c r="JQ24" s="40"/>
      <c r="JR24" s="40"/>
      <c r="JS24" s="40"/>
      <c r="JT24" s="40"/>
      <c r="JU24" s="40"/>
      <c r="JV24" s="40"/>
      <c r="JW24" s="40"/>
      <c r="JX24" s="40"/>
      <c r="JY24" s="40"/>
      <c r="JZ24" s="40"/>
      <c r="KA24" s="40"/>
      <c r="KB24" s="40"/>
      <c r="KC24" s="40"/>
      <c r="KD24" s="40"/>
      <c r="KE24" s="40"/>
      <c r="KF24" s="40"/>
      <c r="KG24" s="40"/>
      <c r="KH24" s="40"/>
      <c r="KI24" s="40"/>
      <c r="KJ24" s="40"/>
      <c r="KK24" s="40"/>
      <c r="KL24" s="40"/>
      <c r="KM24" s="40"/>
      <c r="KN24" s="40"/>
      <c r="KO24" s="40"/>
      <c r="KP24" s="40"/>
      <c r="KQ24" s="40"/>
      <c r="KR24" s="40"/>
      <c r="KS24" s="40"/>
      <c r="KT24" s="40"/>
      <c r="KU24" s="40"/>
      <c r="KV24" s="40"/>
      <c r="KW24" s="40"/>
      <c r="KX24" s="40"/>
      <c r="KY24" s="40"/>
      <c r="KZ24" s="40"/>
      <c r="LA24" s="40"/>
      <c r="LB24" s="40"/>
      <c r="LC24" s="40"/>
      <c r="LD24" s="40"/>
      <c r="LE24" s="40"/>
      <c r="LF24" s="40"/>
      <c r="LG24" s="40"/>
      <c r="LH24" s="40"/>
      <c r="LI24" s="40"/>
      <c r="LJ24" s="40"/>
      <c r="LK24" s="40"/>
      <c r="LL24" s="40"/>
      <c r="LM24" s="40"/>
      <c r="LN24" s="40"/>
      <c r="LO24" s="40"/>
      <c r="LP24" s="40"/>
      <c r="LQ24" s="40"/>
      <c r="LR24" s="40"/>
      <c r="LS24" s="40"/>
      <c r="LT24" s="40"/>
      <c r="LU24" s="40"/>
      <c r="LV24" s="40"/>
      <c r="LW24" s="40"/>
      <c r="LX24" s="40"/>
      <c r="LY24" s="40"/>
      <c r="LZ24" s="40"/>
      <c r="MA24" s="40"/>
      <c r="MB24" s="40"/>
      <c r="MC24" s="40"/>
      <c r="MD24" s="40"/>
      <c r="ME24" s="40"/>
      <c r="MF24" s="40"/>
      <c r="MG24" s="40"/>
      <c r="MH24" s="40"/>
      <c r="MI24" s="40"/>
      <c r="MJ24" s="40"/>
      <c r="MK24" s="40"/>
      <c r="ML24" s="40"/>
      <c r="MM24" s="40"/>
      <c r="MN24" s="40"/>
      <c r="MO24" s="40"/>
      <c r="MP24" s="40"/>
      <c r="MQ24" s="40"/>
      <c r="MR24" s="40"/>
      <c r="MS24" s="40"/>
      <c r="MT24" s="40"/>
      <c r="MU24" s="40"/>
      <c r="MV24" s="40"/>
      <c r="MW24" s="40"/>
      <c r="MX24" s="40"/>
      <c r="MY24" s="40"/>
      <c r="MZ24" s="40"/>
      <c r="NA24" s="40"/>
      <c r="NB24" s="40"/>
      <c r="NC24" s="40"/>
      <c r="ND24" s="40"/>
      <c r="NE24" s="40"/>
      <c r="NF24" s="40"/>
      <c r="NG24" s="40"/>
      <c r="NH24" s="40"/>
      <c r="NI24" s="40"/>
      <c r="NJ24" s="40"/>
      <c r="NK24" s="40"/>
      <c r="NL24" s="40"/>
      <c r="NM24" s="40"/>
      <c r="NN24" s="40"/>
      <c r="NO24" s="40"/>
      <c r="NP24" s="40"/>
      <c r="NQ24" s="40"/>
    </row>
    <row r="25" ht="12.0" customHeight="1">
      <c r="A25" s="41">
        <v>46027.0</v>
      </c>
      <c r="B25" s="42" t="s">
        <v>33</v>
      </c>
      <c r="C25" s="63" t="s">
        <v>21</v>
      </c>
      <c r="D25" s="44"/>
      <c r="E25" s="45">
        <v>46181.0</v>
      </c>
      <c r="F25" s="46">
        <f t="shared" si="3"/>
        <v>46182</v>
      </c>
      <c r="G25" s="47">
        <v>2.0</v>
      </c>
      <c r="H25" s="48">
        <v>0.0</v>
      </c>
      <c r="I25" s="49">
        <f t="shared" si="4"/>
        <v>2</v>
      </c>
      <c r="J25" s="50"/>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0"/>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c r="FL25" s="43"/>
      <c r="FM25" s="43"/>
      <c r="FN25" s="43"/>
      <c r="FO25" s="43"/>
      <c r="FP25" s="43"/>
      <c r="FQ25" s="43"/>
      <c r="FR25" s="43"/>
      <c r="FS25" s="43"/>
      <c r="FT25" s="43"/>
      <c r="FU25" s="43"/>
      <c r="FV25" s="43"/>
      <c r="FW25" s="43"/>
      <c r="FX25" s="43"/>
      <c r="FY25" s="43"/>
      <c r="FZ25" s="43"/>
      <c r="GA25" s="43"/>
      <c r="GB25" s="43"/>
      <c r="GC25" s="43"/>
      <c r="GD25" s="43"/>
      <c r="GE25" s="43"/>
      <c r="GF25" s="43"/>
      <c r="GG25" s="43"/>
      <c r="GH25" s="43"/>
      <c r="GI25" s="43"/>
      <c r="GJ25" s="43"/>
      <c r="GK25" s="43"/>
      <c r="GL25" s="43"/>
      <c r="GM25" s="43"/>
      <c r="GN25" s="43"/>
      <c r="GO25" s="43"/>
      <c r="GP25" s="43"/>
      <c r="GQ25" s="43"/>
      <c r="GR25" s="43"/>
      <c r="GS25" s="43"/>
      <c r="GT25" s="43"/>
      <c r="GU25" s="43"/>
      <c r="GV25" s="43"/>
      <c r="GW25" s="43"/>
      <c r="GX25" s="43"/>
      <c r="GY25" s="43"/>
      <c r="GZ25" s="43"/>
      <c r="HA25" s="43"/>
      <c r="HB25" s="43"/>
      <c r="HC25" s="43"/>
      <c r="HD25" s="43"/>
      <c r="HE25" s="43"/>
      <c r="HF25" s="43"/>
      <c r="HG25" s="43"/>
      <c r="HH25" s="43"/>
      <c r="HI25" s="43"/>
      <c r="HJ25" s="43"/>
      <c r="HK25" s="43"/>
      <c r="HL25" s="43"/>
      <c r="HM25" s="43"/>
      <c r="HN25" s="43"/>
      <c r="HO25" s="43"/>
      <c r="HP25" s="43"/>
      <c r="HQ25" s="43"/>
      <c r="HR25" s="43"/>
      <c r="HS25" s="43"/>
      <c r="HT25" s="43"/>
      <c r="HU25" s="43"/>
      <c r="HV25" s="43"/>
      <c r="HW25" s="43"/>
      <c r="HX25" s="43"/>
      <c r="HY25" s="43"/>
      <c r="HZ25" s="43"/>
      <c r="IA25" s="43"/>
      <c r="IB25" s="43"/>
      <c r="IC25" s="43"/>
      <c r="ID25" s="43"/>
      <c r="IE25" s="43"/>
      <c r="IF25" s="43"/>
      <c r="IG25" s="43"/>
      <c r="IH25" s="43"/>
      <c r="II25" s="43"/>
      <c r="IJ25" s="43"/>
      <c r="IK25" s="43"/>
      <c r="IL25" s="43"/>
      <c r="IM25" s="43"/>
      <c r="IN25" s="43"/>
      <c r="IO25" s="43"/>
      <c r="IP25" s="43"/>
      <c r="IQ25" s="43"/>
      <c r="IR25" s="43"/>
      <c r="IS25" s="43"/>
      <c r="IT25" s="43"/>
      <c r="IU25" s="43"/>
      <c r="IV25" s="43"/>
      <c r="IW25" s="43"/>
      <c r="IX25" s="43"/>
      <c r="IY25" s="43"/>
      <c r="IZ25" s="43"/>
      <c r="JA25" s="43"/>
      <c r="JB25" s="43"/>
      <c r="JC25" s="43"/>
      <c r="JD25" s="43"/>
      <c r="JE25" s="43"/>
      <c r="JF25" s="43"/>
      <c r="JG25" s="43"/>
      <c r="JH25" s="43"/>
      <c r="JI25" s="43"/>
      <c r="JJ25" s="43"/>
      <c r="JK25" s="43"/>
      <c r="JL25" s="43"/>
      <c r="JM25" s="43"/>
      <c r="JN25" s="43"/>
      <c r="JO25" s="43"/>
      <c r="JP25" s="43"/>
      <c r="JQ25" s="43"/>
      <c r="JR25" s="43"/>
      <c r="JS25" s="43"/>
      <c r="JT25" s="43"/>
      <c r="JU25" s="43"/>
      <c r="JV25" s="43"/>
      <c r="JW25" s="43"/>
      <c r="JX25" s="43"/>
      <c r="JY25" s="43"/>
      <c r="JZ25" s="51"/>
      <c r="KA25" s="51"/>
      <c r="KB25" s="51"/>
      <c r="KC25" s="51"/>
      <c r="KD25" s="51"/>
      <c r="KE25" s="51"/>
      <c r="KF25" s="51"/>
      <c r="KG25" s="51"/>
      <c r="KH25" s="51"/>
      <c r="KI25" s="51"/>
      <c r="KJ25" s="51"/>
      <c r="KK25" s="51"/>
      <c r="KL25" s="51"/>
      <c r="KM25" s="51"/>
      <c r="KN25" s="51"/>
      <c r="KO25" s="51"/>
      <c r="KP25" s="51"/>
      <c r="KQ25" s="51"/>
      <c r="KR25" s="51"/>
      <c r="KS25" s="43"/>
      <c r="KT25" s="43"/>
      <c r="KU25" s="43"/>
      <c r="KV25" s="43"/>
      <c r="KW25" s="43"/>
      <c r="KX25" s="43"/>
      <c r="KY25" s="43"/>
      <c r="KZ25" s="43"/>
      <c r="LA25" s="43"/>
      <c r="LB25" s="43"/>
      <c r="LC25" s="43"/>
      <c r="LD25" s="43"/>
      <c r="LE25" s="43"/>
      <c r="LF25" s="43"/>
      <c r="LG25" s="43"/>
      <c r="LH25" s="43"/>
      <c r="LI25" s="43"/>
      <c r="LJ25" s="43"/>
      <c r="LK25" s="43"/>
      <c r="LL25" s="43"/>
      <c r="LM25" s="43"/>
      <c r="LN25" s="43"/>
      <c r="LO25" s="43"/>
      <c r="LP25" s="43"/>
      <c r="LQ25" s="43"/>
      <c r="LR25" s="43"/>
      <c r="LS25" s="43"/>
      <c r="LT25" s="43"/>
      <c r="LU25" s="43"/>
      <c r="LV25" s="43"/>
      <c r="LW25" s="43"/>
      <c r="LX25" s="43"/>
      <c r="LY25" s="43"/>
      <c r="LZ25" s="43"/>
      <c r="MA25" s="43"/>
      <c r="MB25" s="43"/>
      <c r="MC25" s="43"/>
      <c r="MD25" s="43"/>
      <c r="ME25" s="43"/>
      <c r="MF25" s="43"/>
      <c r="MG25" s="43"/>
      <c r="MH25" s="43"/>
      <c r="MI25" s="43"/>
      <c r="MJ25" s="43"/>
      <c r="MK25" s="43"/>
      <c r="ML25" s="43"/>
      <c r="MM25" s="43"/>
      <c r="MN25" s="43"/>
      <c r="MO25" s="43"/>
      <c r="MP25" s="43"/>
      <c r="MQ25" s="43"/>
      <c r="MR25" s="43"/>
      <c r="MS25" s="43"/>
      <c r="MT25" s="43"/>
      <c r="MU25" s="43"/>
      <c r="MV25" s="43"/>
      <c r="MW25" s="43"/>
      <c r="MX25" s="43"/>
      <c r="MY25" s="43"/>
      <c r="MZ25" s="43"/>
      <c r="NA25" s="43"/>
      <c r="NB25" s="43"/>
      <c r="NC25" s="43"/>
      <c r="ND25" s="43"/>
      <c r="NE25" s="43"/>
      <c r="NF25" s="43"/>
      <c r="NG25" s="43"/>
      <c r="NH25" s="43"/>
      <c r="NI25" s="43"/>
      <c r="NJ25" s="43"/>
      <c r="NK25" s="43"/>
      <c r="NL25" s="43"/>
      <c r="NM25" s="43"/>
      <c r="NN25" s="43"/>
      <c r="NO25" s="43"/>
      <c r="NP25" s="43"/>
      <c r="NQ25" s="43"/>
    </row>
    <row r="26" ht="12.0" customHeight="1">
      <c r="A26" s="41">
        <v>46058.0</v>
      </c>
      <c r="B26" s="42" t="s">
        <v>34</v>
      </c>
      <c r="C26" s="63" t="s">
        <v>21</v>
      </c>
      <c r="D26" s="44"/>
      <c r="E26" s="45">
        <v>46182.0</v>
      </c>
      <c r="F26" s="46">
        <f t="shared" si="3"/>
        <v>46183</v>
      </c>
      <c r="G26" s="47">
        <v>2.0</v>
      </c>
      <c r="H26" s="48">
        <v>0.0</v>
      </c>
      <c r="I26" s="49">
        <f t="shared" si="4"/>
        <v>2</v>
      </c>
      <c r="J26" s="50"/>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c r="CT26" s="43"/>
      <c r="CU26" s="43"/>
      <c r="CV26" s="43"/>
      <c r="CW26" s="43"/>
      <c r="CX26" s="43"/>
      <c r="CY26" s="43"/>
      <c r="CZ26" s="43"/>
      <c r="DA26" s="43"/>
      <c r="DB26" s="43"/>
      <c r="DC26" s="43"/>
      <c r="DD26" s="43"/>
      <c r="DE26" s="43"/>
      <c r="DF26" s="43"/>
      <c r="DG26" s="43"/>
      <c r="DH26" s="43"/>
      <c r="DI26" s="43"/>
      <c r="DJ26" s="43"/>
      <c r="DK26" s="43"/>
      <c r="DL26" s="43"/>
      <c r="DM26" s="43"/>
      <c r="DN26" s="43"/>
      <c r="DO26" s="43"/>
      <c r="DP26" s="43"/>
      <c r="DQ26" s="43"/>
      <c r="DR26" s="43"/>
      <c r="DS26" s="43"/>
      <c r="DT26" s="43"/>
      <c r="DU26" s="43"/>
      <c r="DV26" s="43"/>
      <c r="DW26" s="43"/>
      <c r="DX26" s="43"/>
      <c r="DY26" s="43"/>
      <c r="DZ26" s="43"/>
      <c r="EA26" s="43"/>
      <c r="EB26" s="43"/>
      <c r="EC26" s="43"/>
      <c r="ED26" s="43"/>
      <c r="EE26" s="43"/>
      <c r="EF26" s="43"/>
      <c r="EG26" s="43"/>
      <c r="EH26" s="43"/>
      <c r="EI26" s="43"/>
      <c r="EJ26" s="43"/>
      <c r="EK26" s="43"/>
      <c r="EL26" s="43"/>
      <c r="EM26" s="43"/>
      <c r="EN26" s="43"/>
      <c r="EO26" s="43"/>
      <c r="EP26" s="43"/>
      <c r="EQ26" s="43"/>
      <c r="ER26" s="43"/>
      <c r="ES26" s="43"/>
      <c r="ET26" s="43"/>
      <c r="EU26" s="43"/>
      <c r="EV26" s="43"/>
      <c r="EW26" s="43"/>
      <c r="EX26" s="43"/>
      <c r="EY26" s="43"/>
      <c r="EZ26" s="43"/>
      <c r="FA26" s="43"/>
      <c r="FB26" s="43"/>
      <c r="FC26" s="43"/>
      <c r="FD26" s="43"/>
      <c r="FE26" s="43"/>
      <c r="FF26" s="43"/>
      <c r="FG26" s="43"/>
      <c r="FH26" s="43"/>
      <c r="FI26" s="43"/>
      <c r="FJ26" s="43"/>
      <c r="FK26" s="43"/>
      <c r="FL26" s="43"/>
      <c r="FM26" s="43"/>
      <c r="FN26" s="43"/>
      <c r="FO26" s="43"/>
      <c r="FP26" s="43"/>
      <c r="FQ26" s="43"/>
      <c r="FR26" s="43"/>
      <c r="FS26" s="43"/>
      <c r="FT26" s="43"/>
      <c r="FU26" s="43"/>
      <c r="FV26" s="43"/>
      <c r="FW26" s="43"/>
      <c r="FX26" s="43"/>
      <c r="FY26" s="43"/>
      <c r="FZ26" s="43"/>
      <c r="GA26" s="43"/>
      <c r="GB26" s="43"/>
      <c r="GC26" s="43"/>
      <c r="GD26" s="43"/>
      <c r="GE26" s="43"/>
      <c r="GF26" s="43"/>
      <c r="GG26" s="43"/>
      <c r="GH26" s="43"/>
      <c r="GI26" s="43"/>
      <c r="GJ26" s="43"/>
      <c r="GK26" s="43"/>
      <c r="GL26" s="43"/>
      <c r="GM26" s="43"/>
      <c r="GN26" s="43"/>
      <c r="GO26" s="43"/>
      <c r="GP26" s="43"/>
      <c r="GQ26" s="43"/>
      <c r="GR26" s="43"/>
      <c r="GS26" s="43"/>
      <c r="GT26" s="43"/>
      <c r="GU26" s="43"/>
      <c r="GV26" s="43"/>
      <c r="GW26" s="43"/>
      <c r="GX26" s="43"/>
      <c r="GY26" s="43"/>
      <c r="GZ26" s="43"/>
      <c r="HA26" s="43"/>
      <c r="HB26" s="43"/>
      <c r="HC26" s="43"/>
      <c r="HD26" s="43"/>
      <c r="HE26" s="43"/>
      <c r="HF26" s="43"/>
      <c r="HG26" s="43"/>
      <c r="HH26" s="43"/>
      <c r="HI26" s="43"/>
      <c r="HJ26" s="43"/>
      <c r="HK26" s="43"/>
      <c r="HL26" s="43"/>
      <c r="HM26" s="43"/>
      <c r="HN26" s="43"/>
      <c r="HO26" s="43"/>
      <c r="HP26" s="43"/>
      <c r="HQ26" s="43"/>
      <c r="HR26" s="43"/>
      <c r="HS26" s="43"/>
      <c r="HT26" s="43"/>
      <c r="HU26" s="43"/>
      <c r="HV26" s="43"/>
      <c r="HW26" s="43"/>
      <c r="HX26" s="43"/>
      <c r="HY26" s="43"/>
      <c r="HZ26" s="43"/>
      <c r="IA26" s="43"/>
      <c r="IB26" s="43"/>
      <c r="IC26" s="43"/>
      <c r="ID26" s="43"/>
      <c r="IE26" s="43"/>
      <c r="IF26" s="43"/>
      <c r="IG26" s="43"/>
      <c r="IH26" s="43"/>
      <c r="II26" s="43"/>
      <c r="IJ26" s="43"/>
      <c r="IK26" s="43"/>
      <c r="IL26" s="43"/>
      <c r="IM26" s="43"/>
      <c r="IN26" s="43"/>
      <c r="IO26" s="43"/>
      <c r="IP26" s="43"/>
      <c r="IQ26" s="43"/>
      <c r="IR26" s="43"/>
      <c r="IS26" s="43"/>
      <c r="IT26" s="43"/>
      <c r="IU26" s="43"/>
      <c r="IV26" s="43"/>
      <c r="IW26" s="43"/>
      <c r="IX26" s="43"/>
      <c r="IY26" s="43"/>
      <c r="IZ26" s="43"/>
      <c r="JA26" s="43"/>
      <c r="JB26" s="43"/>
      <c r="JC26" s="43"/>
      <c r="JD26" s="43"/>
      <c r="JE26" s="43"/>
      <c r="JF26" s="43"/>
      <c r="JG26" s="43"/>
      <c r="JH26" s="43"/>
      <c r="JI26" s="43"/>
      <c r="JJ26" s="43"/>
      <c r="JK26" s="43"/>
      <c r="JL26" s="43"/>
      <c r="JM26" s="43"/>
      <c r="JN26" s="43"/>
      <c r="JO26" s="43"/>
      <c r="JP26" s="43"/>
      <c r="JQ26" s="43"/>
      <c r="JR26" s="43"/>
      <c r="JS26" s="43"/>
      <c r="JT26" s="43"/>
      <c r="JU26" s="43"/>
      <c r="JV26" s="43"/>
      <c r="JW26" s="43"/>
      <c r="JX26" s="43"/>
      <c r="JY26" s="43"/>
      <c r="JZ26" s="43"/>
      <c r="KA26" s="43"/>
      <c r="KB26" s="43"/>
      <c r="KC26" s="43"/>
      <c r="KD26" s="43"/>
      <c r="KE26" s="51"/>
      <c r="KF26" s="51"/>
      <c r="KG26" s="51"/>
      <c r="KH26" s="51"/>
      <c r="KI26" s="51"/>
      <c r="KJ26" s="51"/>
      <c r="KK26" s="51"/>
      <c r="KL26" s="51"/>
      <c r="KM26" s="51"/>
      <c r="KN26" s="51"/>
      <c r="KO26" s="51"/>
      <c r="KP26" s="51"/>
      <c r="KQ26" s="51"/>
      <c r="KR26" s="51"/>
      <c r="KS26" s="51"/>
      <c r="KT26" s="51"/>
      <c r="KU26" s="51"/>
      <c r="KV26" s="51"/>
      <c r="KW26" s="51"/>
      <c r="KX26" s="51"/>
      <c r="KY26" s="51"/>
      <c r="KZ26" s="51"/>
      <c r="LA26" s="51"/>
      <c r="LB26" s="51"/>
      <c r="LC26" s="43"/>
      <c r="LD26" s="43"/>
      <c r="LE26" s="43"/>
      <c r="LF26" s="43"/>
      <c r="LG26" s="43"/>
      <c r="LH26" s="43"/>
      <c r="LI26" s="43"/>
      <c r="LJ26" s="43"/>
      <c r="LK26" s="43"/>
      <c r="LL26" s="43"/>
      <c r="LM26" s="43"/>
      <c r="LN26" s="43"/>
      <c r="LO26" s="43"/>
      <c r="LP26" s="43"/>
      <c r="LQ26" s="43"/>
      <c r="LR26" s="43"/>
      <c r="LS26" s="43"/>
      <c r="LT26" s="43"/>
      <c r="LU26" s="43"/>
      <c r="LV26" s="43"/>
      <c r="LW26" s="43"/>
      <c r="LX26" s="43"/>
      <c r="LY26" s="43"/>
      <c r="LZ26" s="43"/>
      <c r="MA26" s="43"/>
      <c r="MB26" s="43"/>
      <c r="MC26" s="43"/>
      <c r="MD26" s="43"/>
      <c r="ME26" s="43"/>
      <c r="MF26" s="43"/>
      <c r="MG26" s="43"/>
      <c r="MH26" s="43"/>
      <c r="MI26" s="43"/>
      <c r="MJ26" s="43"/>
      <c r="MK26" s="43"/>
      <c r="ML26" s="43"/>
      <c r="MM26" s="43"/>
      <c r="MN26" s="43"/>
      <c r="MO26" s="43"/>
      <c r="MP26" s="43"/>
      <c r="MQ26" s="43"/>
      <c r="MR26" s="43"/>
      <c r="MS26" s="43"/>
      <c r="MT26" s="43"/>
      <c r="MU26" s="43"/>
      <c r="MV26" s="43"/>
      <c r="MW26" s="43"/>
      <c r="MX26" s="43"/>
      <c r="MY26" s="43"/>
      <c r="MZ26" s="43"/>
      <c r="NA26" s="43"/>
      <c r="NB26" s="43"/>
      <c r="NC26" s="43"/>
      <c r="ND26" s="43"/>
      <c r="NE26" s="43"/>
      <c r="NF26" s="43"/>
      <c r="NG26" s="43"/>
      <c r="NH26" s="43"/>
      <c r="NI26" s="43"/>
      <c r="NJ26" s="43"/>
      <c r="NK26" s="43"/>
      <c r="NL26" s="43"/>
      <c r="NM26" s="43"/>
      <c r="NN26" s="43"/>
      <c r="NO26" s="43"/>
      <c r="NP26" s="43"/>
      <c r="NQ26" s="43"/>
    </row>
    <row r="27" ht="18.0" customHeight="1">
      <c r="A27" s="41">
        <v>46086.0</v>
      </c>
      <c r="B27" s="6" t="s">
        <v>35</v>
      </c>
      <c r="C27" s="63" t="s">
        <v>16</v>
      </c>
      <c r="D27" s="44"/>
      <c r="E27" s="45">
        <v>46184.0</v>
      </c>
      <c r="F27" s="46">
        <f t="shared" si="3"/>
        <v>46185</v>
      </c>
      <c r="G27" s="47">
        <v>2.0</v>
      </c>
      <c r="H27" s="48">
        <v>0.0</v>
      </c>
      <c r="I27" s="49">
        <f t="shared" si="4"/>
        <v>2</v>
      </c>
      <c r="J27" s="50"/>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c r="GX27" s="43"/>
      <c r="GY27" s="43"/>
      <c r="GZ27" s="43"/>
      <c r="HA27" s="43"/>
      <c r="HB27" s="43"/>
      <c r="HC27" s="43"/>
      <c r="HD27" s="43"/>
      <c r="HE27" s="43"/>
      <c r="HF27" s="43"/>
      <c r="HG27" s="43"/>
      <c r="HH27" s="43"/>
      <c r="HI27" s="43"/>
      <c r="HJ27" s="43"/>
      <c r="HK27" s="43"/>
      <c r="HL27" s="43"/>
      <c r="HM27" s="43"/>
      <c r="HN27" s="43"/>
      <c r="HO27" s="43"/>
      <c r="HP27" s="43"/>
      <c r="HQ27" s="43"/>
      <c r="HR27" s="43"/>
      <c r="HS27" s="43"/>
      <c r="HT27" s="43"/>
      <c r="HU27" s="43"/>
      <c r="HV27" s="43"/>
      <c r="HW27" s="43"/>
      <c r="HX27" s="43"/>
      <c r="HY27" s="43"/>
      <c r="HZ27" s="43"/>
      <c r="IA27" s="43"/>
      <c r="IB27" s="43"/>
      <c r="IC27" s="43"/>
      <c r="ID27" s="43"/>
      <c r="IE27" s="43"/>
      <c r="IF27" s="43"/>
      <c r="IG27" s="43"/>
      <c r="IH27" s="43"/>
      <c r="II27" s="43"/>
      <c r="IJ27" s="43"/>
      <c r="IK27" s="43"/>
      <c r="IL27" s="43"/>
      <c r="IM27" s="43"/>
      <c r="IN27" s="43"/>
      <c r="IO27" s="43"/>
      <c r="IP27" s="43"/>
      <c r="IQ27" s="43"/>
      <c r="IR27" s="43"/>
      <c r="IS27" s="43"/>
      <c r="IT27" s="43"/>
      <c r="IU27" s="43"/>
      <c r="IV27" s="43"/>
      <c r="IW27" s="43"/>
      <c r="IX27" s="43"/>
      <c r="IY27" s="43"/>
      <c r="IZ27" s="43"/>
      <c r="JA27" s="43"/>
      <c r="JB27" s="43"/>
      <c r="JC27" s="43"/>
      <c r="JD27" s="43"/>
      <c r="JE27" s="43"/>
      <c r="JF27" s="43"/>
      <c r="JG27" s="43"/>
      <c r="JH27" s="43"/>
      <c r="JI27" s="43"/>
      <c r="JJ27" s="43"/>
      <c r="JK27" s="43"/>
      <c r="JL27" s="43"/>
      <c r="JM27" s="43"/>
      <c r="JN27" s="43"/>
      <c r="JO27" s="43"/>
      <c r="JP27" s="43"/>
      <c r="JQ27" s="43"/>
      <c r="JR27" s="43"/>
      <c r="JS27" s="43"/>
      <c r="JT27" s="43"/>
      <c r="JU27" s="43"/>
      <c r="JV27" s="43"/>
      <c r="JW27" s="43"/>
      <c r="JX27" s="43"/>
      <c r="JY27" s="43"/>
      <c r="JZ27" s="43"/>
      <c r="KA27" s="43"/>
      <c r="KB27" s="43"/>
      <c r="KC27" s="43"/>
      <c r="KD27" s="43"/>
      <c r="KE27" s="43"/>
      <c r="KF27" s="43"/>
      <c r="KG27" s="43"/>
      <c r="KH27" s="43"/>
      <c r="KI27" s="43"/>
      <c r="KJ27" s="43"/>
      <c r="KK27" s="43"/>
      <c r="KL27" s="43"/>
      <c r="KM27" s="43"/>
      <c r="KN27" s="43"/>
      <c r="KO27" s="43"/>
      <c r="KP27" s="43"/>
      <c r="KQ27" s="43"/>
      <c r="KR27" s="43"/>
      <c r="KS27" s="43"/>
      <c r="KT27" s="51"/>
      <c r="KU27" s="51"/>
      <c r="KV27" s="51"/>
      <c r="KW27" s="51"/>
      <c r="KX27" s="51"/>
      <c r="KY27" s="51"/>
      <c r="KZ27" s="51"/>
      <c r="LA27" s="51"/>
      <c r="LB27" s="51"/>
      <c r="LC27" s="51"/>
      <c r="LD27" s="51"/>
      <c r="LE27" s="51"/>
      <c r="LF27" s="51"/>
      <c r="LG27" s="51"/>
      <c r="LH27" s="51"/>
      <c r="LI27" s="51"/>
      <c r="LJ27" s="51"/>
      <c r="LK27" s="51"/>
      <c r="LL27" s="51"/>
      <c r="LM27" s="43"/>
      <c r="LN27" s="43"/>
      <c r="LO27" s="43"/>
      <c r="LP27" s="43"/>
      <c r="LQ27" s="43"/>
      <c r="LR27" s="43"/>
      <c r="LS27" s="43"/>
      <c r="LT27" s="43"/>
      <c r="LU27" s="43"/>
      <c r="LV27" s="43"/>
      <c r="LW27" s="43"/>
      <c r="LX27" s="43"/>
      <c r="LY27" s="43"/>
      <c r="LZ27" s="43"/>
      <c r="MA27" s="43"/>
      <c r="MB27" s="43"/>
      <c r="MC27" s="43"/>
      <c r="MD27" s="43"/>
      <c r="ME27" s="43"/>
      <c r="MF27" s="43"/>
      <c r="MG27" s="43"/>
      <c r="MH27" s="43"/>
      <c r="MI27" s="43"/>
      <c r="MJ27" s="43"/>
      <c r="MK27" s="43"/>
      <c r="ML27" s="43"/>
      <c r="MM27" s="43"/>
      <c r="MN27" s="43"/>
      <c r="MO27" s="43"/>
      <c r="MP27" s="43"/>
      <c r="MQ27" s="43"/>
      <c r="MR27" s="43"/>
      <c r="MS27" s="43"/>
      <c r="MT27" s="43"/>
      <c r="MU27" s="43"/>
      <c r="MV27" s="43"/>
      <c r="MW27" s="43"/>
      <c r="MX27" s="43"/>
      <c r="MY27" s="43"/>
      <c r="MZ27" s="43"/>
      <c r="NA27" s="43"/>
      <c r="NB27" s="43"/>
      <c r="NC27" s="43"/>
      <c r="ND27" s="43"/>
      <c r="NE27" s="43"/>
      <c r="NF27" s="43"/>
      <c r="NG27" s="43"/>
      <c r="NH27" s="43"/>
      <c r="NI27" s="43"/>
      <c r="NJ27" s="43"/>
      <c r="NK27" s="43"/>
      <c r="NL27" s="43"/>
      <c r="NM27" s="43"/>
      <c r="NN27" s="43"/>
      <c r="NO27" s="43"/>
      <c r="NP27" s="43"/>
      <c r="NQ27" s="43"/>
    </row>
    <row r="28" ht="12.0" customHeight="1">
      <c r="A28" s="55">
        <v>6.0</v>
      </c>
      <c r="B28" s="56" t="s">
        <v>36</v>
      </c>
      <c r="C28" s="40"/>
      <c r="D28" s="57"/>
      <c r="E28" s="58"/>
      <c r="F28" s="58" t="str">
        <f t="shared" si="3"/>
        <v> - </v>
      </c>
      <c r="G28" s="59"/>
      <c r="H28" s="60"/>
      <c r="I28" s="59" t="str">
        <f t="shared" si="4"/>
        <v> - </v>
      </c>
      <c r="J28" s="61"/>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2"/>
      <c r="BN28" s="62"/>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3"/>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c r="IW28" s="40"/>
      <c r="IX28" s="40"/>
      <c r="IY28" s="40"/>
      <c r="IZ28" s="40"/>
      <c r="JA28" s="40"/>
      <c r="JB28" s="40"/>
      <c r="JC28" s="40"/>
      <c r="JD28" s="40"/>
      <c r="JE28" s="40"/>
      <c r="JF28" s="40"/>
      <c r="JG28" s="40"/>
      <c r="JH28" s="40"/>
      <c r="JI28" s="40"/>
      <c r="JJ28" s="40"/>
      <c r="JK28" s="40"/>
      <c r="JL28" s="40"/>
      <c r="JM28" s="40"/>
      <c r="JN28" s="40"/>
      <c r="JO28" s="40"/>
      <c r="JP28" s="40"/>
      <c r="JQ28" s="40"/>
      <c r="JR28" s="40"/>
      <c r="JS28" s="40"/>
      <c r="JT28" s="40"/>
      <c r="JU28" s="40"/>
      <c r="JV28" s="40"/>
      <c r="JW28" s="40"/>
      <c r="JX28" s="40"/>
      <c r="JY28" s="40"/>
      <c r="JZ28" s="40"/>
      <c r="KA28" s="40"/>
      <c r="KB28" s="40"/>
      <c r="KC28" s="40"/>
      <c r="KD28" s="40"/>
      <c r="KE28" s="40"/>
      <c r="KF28" s="40"/>
      <c r="KG28" s="40"/>
      <c r="KH28" s="40"/>
      <c r="KI28" s="40"/>
      <c r="KJ28" s="40"/>
      <c r="KK28" s="40"/>
      <c r="KL28" s="40"/>
      <c r="KM28" s="40"/>
      <c r="KN28" s="40"/>
      <c r="KO28" s="40"/>
      <c r="KP28" s="40"/>
      <c r="KQ28" s="40"/>
      <c r="KR28" s="40"/>
      <c r="KS28" s="40"/>
      <c r="KT28" s="40"/>
      <c r="KU28" s="40"/>
      <c r="KV28" s="40"/>
      <c r="KW28" s="40"/>
      <c r="KX28" s="40"/>
      <c r="KY28" s="40"/>
      <c r="KZ28" s="40"/>
      <c r="LA28" s="40"/>
      <c r="LB28" s="40"/>
      <c r="LC28" s="40"/>
      <c r="LD28" s="40"/>
      <c r="LE28" s="40"/>
      <c r="LF28" s="40"/>
      <c r="LG28" s="40"/>
      <c r="LH28" s="40"/>
      <c r="LI28" s="40"/>
      <c r="LJ28" s="40"/>
      <c r="LK28" s="40"/>
      <c r="LL28" s="40"/>
      <c r="LM28" s="40"/>
      <c r="LN28" s="40"/>
      <c r="LO28" s="40"/>
      <c r="LP28" s="40"/>
      <c r="LQ28" s="40"/>
      <c r="LR28" s="40"/>
      <c r="LS28" s="40"/>
      <c r="LT28" s="40"/>
      <c r="LU28" s="40"/>
      <c r="LV28" s="40"/>
      <c r="LW28" s="40"/>
      <c r="LX28" s="40"/>
      <c r="LY28" s="40"/>
      <c r="LZ28" s="40"/>
      <c r="MA28" s="40"/>
      <c r="MB28" s="40"/>
      <c r="MC28" s="40"/>
      <c r="MD28" s="40"/>
      <c r="ME28" s="40"/>
      <c r="MF28" s="40"/>
      <c r="MG28" s="40"/>
      <c r="MH28" s="40"/>
      <c r="MI28" s="40"/>
      <c r="MJ28" s="40"/>
      <c r="MK28" s="40"/>
      <c r="ML28" s="40"/>
      <c r="MM28" s="40"/>
      <c r="MN28" s="40"/>
      <c r="MO28" s="40"/>
      <c r="MP28" s="40"/>
      <c r="MQ28" s="40"/>
      <c r="MR28" s="40"/>
      <c r="MS28" s="40"/>
      <c r="MT28" s="40"/>
      <c r="MU28" s="40"/>
      <c r="MV28" s="40"/>
      <c r="MW28" s="40"/>
      <c r="MX28" s="40"/>
      <c r="MY28" s="40"/>
      <c r="MZ28" s="40"/>
      <c r="NA28" s="40"/>
      <c r="NB28" s="40"/>
      <c r="NC28" s="40"/>
      <c r="ND28" s="40"/>
      <c r="NE28" s="40"/>
      <c r="NF28" s="40"/>
      <c r="NG28" s="40"/>
      <c r="NH28" s="40"/>
      <c r="NI28" s="40"/>
      <c r="NJ28" s="40"/>
      <c r="NK28" s="40"/>
      <c r="NL28" s="40"/>
      <c r="NM28" s="40"/>
      <c r="NN28" s="40"/>
      <c r="NO28" s="40"/>
      <c r="NP28" s="40"/>
      <c r="NQ28" s="40"/>
    </row>
    <row r="29" ht="18.0" customHeight="1">
      <c r="A29" s="41">
        <v>46028.0</v>
      </c>
      <c r="B29" s="68" t="s">
        <v>37</v>
      </c>
      <c r="C29" s="68" t="s">
        <v>16</v>
      </c>
      <c r="D29" s="44"/>
      <c r="E29" s="45">
        <v>46187.0</v>
      </c>
      <c r="F29" s="46">
        <f t="shared" si="3"/>
        <v>46188</v>
      </c>
      <c r="G29" s="47">
        <v>2.0</v>
      </c>
      <c r="H29" s="48">
        <v>0.0</v>
      </c>
      <c r="I29" s="49">
        <f t="shared" si="4"/>
        <v>1</v>
      </c>
      <c r="J29" s="50"/>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3"/>
      <c r="CU29" s="43"/>
      <c r="CV29" s="43"/>
      <c r="CW29" s="43"/>
      <c r="CX29" s="43"/>
      <c r="CY29" s="43"/>
      <c r="CZ29" s="43"/>
      <c r="DA29" s="43"/>
      <c r="DB29" s="43"/>
      <c r="DC29" s="43"/>
      <c r="DD29" s="43"/>
      <c r="DE29" s="43"/>
      <c r="DF29" s="43"/>
      <c r="DG29" s="43"/>
      <c r="DH29" s="43"/>
      <c r="DI29" s="43"/>
      <c r="DJ29" s="43"/>
      <c r="DK29" s="43"/>
      <c r="DL29" s="43"/>
      <c r="DM29" s="43"/>
      <c r="DN29" s="43"/>
      <c r="DO29" s="43"/>
      <c r="DP29" s="43"/>
      <c r="DQ29" s="43"/>
      <c r="DR29" s="43"/>
      <c r="DS29" s="43"/>
      <c r="DT29" s="43"/>
      <c r="DU29" s="43"/>
      <c r="DV29" s="43"/>
      <c r="DW29" s="43"/>
      <c r="DX29" s="43"/>
      <c r="DY29" s="43"/>
      <c r="DZ29" s="43"/>
      <c r="EA29" s="43"/>
      <c r="EB29" s="43"/>
      <c r="EC29" s="43"/>
      <c r="ED29" s="43"/>
      <c r="EE29" s="43"/>
      <c r="EF29" s="43"/>
      <c r="EG29" s="43"/>
      <c r="EH29" s="43"/>
      <c r="EI29" s="43"/>
      <c r="EJ29" s="43"/>
      <c r="EK29" s="43"/>
      <c r="EL29" s="43"/>
      <c r="EM29" s="43"/>
      <c r="EN29" s="43"/>
      <c r="EO29" s="43"/>
      <c r="EP29" s="43"/>
      <c r="EQ29" s="43"/>
      <c r="ER29" s="43"/>
      <c r="ES29" s="43"/>
      <c r="ET29" s="43"/>
      <c r="EU29" s="43"/>
      <c r="EV29" s="43"/>
      <c r="EW29" s="43"/>
      <c r="EX29" s="43"/>
      <c r="EY29" s="43"/>
      <c r="EZ29" s="43"/>
      <c r="FA29" s="43"/>
      <c r="FB29" s="43"/>
      <c r="FC29" s="43"/>
      <c r="FD29" s="43"/>
      <c r="FE29" s="43"/>
      <c r="FF29" s="43"/>
      <c r="FG29" s="43"/>
      <c r="FH29" s="43"/>
      <c r="FI29" s="43"/>
      <c r="FJ29" s="43"/>
      <c r="FK29" s="43"/>
      <c r="FL29" s="43"/>
      <c r="FM29" s="43"/>
      <c r="FN29" s="43"/>
      <c r="FO29" s="43"/>
      <c r="FP29" s="43"/>
      <c r="FQ29" s="43"/>
      <c r="FR29" s="43"/>
      <c r="FS29" s="43"/>
      <c r="FT29" s="43"/>
      <c r="FU29" s="43"/>
      <c r="FV29" s="43"/>
      <c r="FW29" s="43"/>
      <c r="FX29" s="43"/>
      <c r="FY29" s="43"/>
      <c r="FZ29" s="43"/>
      <c r="GA29" s="43"/>
      <c r="GB29" s="43"/>
      <c r="GC29" s="43"/>
      <c r="GD29" s="43"/>
      <c r="GE29" s="43"/>
      <c r="GF29" s="43"/>
      <c r="GG29" s="43"/>
      <c r="GH29" s="43"/>
      <c r="GI29" s="43"/>
      <c r="GJ29" s="43"/>
      <c r="GK29" s="43"/>
      <c r="GL29" s="43"/>
      <c r="GM29" s="43"/>
      <c r="GN29" s="43"/>
      <c r="GO29" s="43"/>
      <c r="GP29" s="43"/>
      <c r="GQ29" s="43"/>
      <c r="GR29" s="43"/>
      <c r="GS29" s="43"/>
      <c r="GT29" s="43"/>
      <c r="GU29" s="43"/>
      <c r="GV29" s="43"/>
      <c r="GW29" s="43"/>
      <c r="GX29" s="43"/>
      <c r="GY29" s="43"/>
      <c r="GZ29" s="43"/>
      <c r="HA29" s="43"/>
      <c r="HB29" s="43"/>
      <c r="HC29" s="43"/>
      <c r="HD29" s="43"/>
      <c r="HE29" s="43"/>
      <c r="HF29" s="43"/>
      <c r="HG29" s="43"/>
      <c r="HH29" s="43"/>
      <c r="HI29" s="43"/>
      <c r="HJ29" s="43"/>
      <c r="HK29" s="43"/>
      <c r="HL29" s="43"/>
      <c r="HM29" s="43"/>
      <c r="HN29" s="43"/>
      <c r="HO29" s="43"/>
      <c r="HP29" s="43"/>
      <c r="HQ29" s="43"/>
      <c r="HR29" s="43"/>
      <c r="HS29" s="43"/>
      <c r="HT29" s="43"/>
      <c r="HU29" s="43"/>
      <c r="HV29" s="43"/>
      <c r="HW29" s="43"/>
      <c r="HX29" s="43"/>
      <c r="HY29" s="43"/>
      <c r="HZ29" s="43"/>
      <c r="IA29" s="43"/>
      <c r="IB29" s="43"/>
      <c r="IC29" s="43"/>
      <c r="ID29" s="43"/>
      <c r="IE29" s="43"/>
      <c r="IF29" s="43"/>
      <c r="IG29" s="43"/>
      <c r="IH29" s="43"/>
      <c r="II29" s="43"/>
      <c r="IJ29" s="43"/>
      <c r="IK29" s="43"/>
      <c r="IL29" s="43"/>
      <c r="IM29" s="43"/>
      <c r="IN29" s="43"/>
      <c r="IO29" s="43"/>
      <c r="IP29" s="43"/>
      <c r="IQ29" s="43"/>
      <c r="IR29" s="43"/>
      <c r="IS29" s="43"/>
      <c r="IT29" s="43"/>
      <c r="IU29" s="43"/>
      <c r="IV29" s="43"/>
      <c r="IW29" s="43"/>
      <c r="IX29" s="43"/>
      <c r="IY29" s="43"/>
      <c r="IZ29" s="43"/>
      <c r="JA29" s="43"/>
      <c r="JB29" s="43"/>
      <c r="JC29" s="43"/>
      <c r="JD29" s="43"/>
      <c r="JE29" s="43"/>
      <c r="JF29" s="43"/>
      <c r="JG29" s="43"/>
      <c r="JH29" s="43"/>
      <c r="JI29" s="43"/>
      <c r="JJ29" s="43"/>
      <c r="JK29" s="43"/>
      <c r="JL29" s="43"/>
      <c r="JM29" s="43"/>
      <c r="JN29" s="43"/>
      <c r="JO29" s="43"/>
      <c r="JP29" s="43"/>
      <c r="JQ29" s="43"/>
      <c r="JR29" s="43"/>
      <c r="JS29" s="43"/>
      <c r="JT29" s="43"/>
      <c r="JU29" s="43"/>
      <c r="JV29" s="43"/>
      <c r="JW29" s="43"/>
      <c r="JX29" s="43"/>
      <c r="JY29" s="43"/>
      <c r="JZ29" s="43"/>
      <c r="KA29" s="43"/>
      <c r="KB29" s="43"/>
      <c r="KC29" s="43"/>
      <c r="KD29" s="43"/>
      <c r="KE29" s="43"/>
      <c r="KF29" s="43"/>
      <c r="KG29" s="43"/>
      <c r="KH29" s="43"/>
      <c r="KI29" s="43"/>
      <c r="KJ29" s="43"/>
      <c r="KK29" s="43"/>
      <c r="KL29" s="43"/>
      <c r="KM29" s="43"/>
      <c r="KN29" s="43"/>
      <c r="KO29" s="43"/>
      <c r="KP29" s="43"/>
      <c r="KQ29" s="43"/>
      <c r="KR29" s="43"/>
      <c r="KS29" s="43"/>
      <c r="KT29" s="43"/>
      <c r="KU29" s="43"/>
      <c r="KV29" s="43"/>
      <c r="KW29" s="43"/>
      <c r="KX29" s="43"/>
      <c r="KY29" s="43"/>
      <c r="KZ29" s="43"/>
      <c r="LA29" s="43"/>
      <c r="LB29" s="43"/>
      <c r="LC29" s="43"/>
      <c r="LD29" s="43"/>
      <c r="LE29" s="43"/>
      <c r="LF29" s="43"/>
      <c r="LG29" s="43"/>
      <c r="LH29" s="43"/>
      <c r="LI29" s="43"/>
      <c r="LJ29" s="43"/>
      <c r="LK29" s="43"/>
      <c r="LL29" s="43"/>
      <c r="LM29" s="43"/>
      <c r="LN29" s="43"/>
      <c r="LO29" s="43"/>
      <c r="LP29" s="43"/>
      <c r="LQ29" s="43"/>
      <c r="LR29" s="43"/>
      <c r="LS29" s="43"/>
      <c r="LT29" s="51"/>
      <c r="LU29" s="51"/>
      <c r="LV29" s="51"/>
      <c r="LW29" s="51"/>
      <c r="LX29" s="51"/>
      <c r="LY29" s="51"/>
      <c r="LZ29" s="51"/>
      <c r="MA29" s="51"/>
      <c r="MB29" s="51"/>
      <c r="MC29" s="51"/>
      <c r="MD29" s="51"/>
      <c r="ME29" s="51"/>
      <c r="MF29" s="51"/>
      <c r="MG29" s="51"/>
      <c r="MH29" s="51"/>
      <c r="MI29" s="51"/>
      <c r="MJ29" s="51"/>
      <c r="MK29" s="51"/>
      <c r="ML29" s="51"/>
      <c r="MM29" s="51"/>
      <c r="MN29" s="51"/>
      <c r="MO29" s="51"/>
      <c r="MP29" s="51"/>
      <c r="MQ29" s="51"/>
      <c r="MR29" s="51"/>
      <c r="MS29" s="51"/>
      <c r="MT29" s="51"/>
      <c r="MU29" s="43"/>
      <c r="MV29" s="43"/>
      <c r="MW29" s="43"/>
      <c r="MX29" s="43"/>
      <c r="MY29" s="43"/>
      <c r="MZ29" s="43"/>
      <c r="NA29" s="43"/>
      <c r="NB29" s="43"/>
      <c r="NC29" s="43"/>
      <c r="ND29" s="43"/>
      <c r="NE29" s="43"/>
      <c r="NF29" s="43"/>
      <c r="NG29" s="43"/>
      <c r="NH29" s="43"/>
      <c r="NI29" s="43"/>
      <c r="NJ29" s="43"/>
      <c r="NK29" s="43"/>
      <c r="NL29" s="43"/>
      <c r="NM29" s="43"/>
      <c r="NN29" s="43"/>
      <c r="NO29" s="43"/>
      <c r="NP29" s="43"/>
      <c r="NQ29" s="43"/>
    </row>
    <row r="30" ht="12.0" customHeight="1">
      <c r="A30" s="41">
        <v>46059.0</v>
      </c>
      <c r="B30" s="42" t="s">
        <v>38</v>
      </c>
      <c r="C30" s="68" t="s">
        <v>16</v>
      </c>
      <c r="D30" s="44"/>
      <c r="E30" s="45">
        <v>46189.0</v>
      </c>
      <c r="F30" s="46">
        <f t="shared" si="3"/>
        <v>46190</v>
      </c>
      <c r="G30" s="47">
        <v>2.0</v>
      </c>
      <c r="H30" s="48">
        <v>0.0</v>
      </c>
      <c r="I30" s="49">
        <f t="shared" si="4"/>
        <v>2</v>
      </c>
      <c r="J30" s="65"/>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66"/>
      <c r="BP30" s="66"/>
      <c r="BQ30" s="66"/>
      <c r="BR30" s="66"/>
      <c r="BS30" s="66"/>
      <c r="BT30" s="66"/>
      <c r="BU30" s="66"/>
      <c r="BV30" s="66"/>
      <c r="BW30" s="66"/>
      <c r="BX30" s="66"/>
      <c r="BY30" s="66"/>
      <c r="BZ30" s="66"/>
      <c r="CA30" s="66"/>
      <c r="CB30" s="66"/>
      <c r="CC30" s="66"/>
      <c r="CD30" s="66"/>
      <c r="CE30" s="66"/>
      <c r="CF30" s="66"/>
      <c r="CG30" s="66"/>
      <c r="CH30" s="66"/>
      <c r="CI30" s="66"/>
      <c r="CJ30" s="66"/>
      <c r="CK30" s="66"/>
      <c r="CL30" s="66"/>
      <c r="CM30" s="66"/>
      <c r="CN30" s="66"/>
      <c r="CO30" s="66"/>
      <c r="CP30" s="66"/>
      <c r="CQ30" s="66"/>
      <c r="CR30" s="66"/>
      <c r="CS30" s="66"/>
      <c r="CT30" s="66"/>
      <c r="CU30" s="66"/>
      <c r="CV30" s="66"/>
      <c r="CW30" s="66"/>
      <c r="CX30" s="66"/>
      <c r="CY30" s="66"/>
      <c r="CZ30" s="66"/>
      <c r="DA30" s="66"/>
      <c r="DB30" s="66"/>
      <c r="DC30" s="66"/>
      <c r="DD30" s="66"/>
      <c r="DE30" s="66"/>
      <c r="DF30" s="66"/>
      <c r="DG30" s="66"/>
      <c r="DH30" s="66"/>
      <c r="DI30" s="66"/>
      <c r="DJ30" s="43"/>
      <c r="DK30" s="66"/>
      <c r="DL30" s="66"/>
      <c r="DM30" s="66"/>
      <c r="DN30" s="66"/>
      <c r="DO30" s="66"/>
      <c r="DP30" s="66"/>
      <c r="DQ30" s="66"/>
      <c r="DR30" s="66"/>
      <c r="DS30" s="66"/>
      <c r="DT30" s="66"/>
      <c r="DU30" s="66"/>
      <c r="DV30" s="66"/>
      <c r="DW30" s="66"/>
      <c r="DX30" s="66"/>
      <c r="DY30" s="66"/>
      <c r="DZ30" s="66"/>
      <c r="EA30" s="66"/>
      <c r="EB30" s="66"/>
      <c r="EC30" s="66"/>
      <c r="ED30" s="66"/>
      <c r="EE30" s="66"/>
      <c r="EF30" s="66"/>
      <c r="EG30" s="66"/>
      <c r="EH30" s="66"/>
      <c r="EI30" s="66"/>
      <c r="EJ30" s="66"/>
      <c r="EK30" s="66"/>
      <c r="EL30" s="66"/>
      <c r="EM30" s="66"/>
      <c r="EN30" s="66"/>
      <c r="EO30" s="66"/>
      <c r="EP30" s="66"/>
      <c r="EQ30" s="66"/>
      <c r="ER30" s="66"/>
      <c r="ES30" s="66"/>
      <c r="ET30" s="66"/>
      <c r="EU30" s="66"/>
      <c r="EV30" s="66"/>
      <c r="EW30" s="66"/>
      <c r="EX30" s="66"/>
      <c r="EY30" s="66"/>
      <c r="EZ30" s="66"/>
      <c r="FA30" s="66"/>
      <c r="FB30" s="66"/>
      <c r="FC30" s="66"/>
      <c r="FD30" s="66"/>
      <c r="FE30" s="66"/>
      <c r="FF30" s="66"/>
      <c r="FG30" s="66"/>
      <c r="FH30" s="66"/>
      <c r="FI30" s="66"/>
      <c r="FJ30" s="66"/>
      <c r="FK30" s="66"/>
      <c r="FL30" s="66"/>
      <c r="FM30" s="66"/>
      <c r="FN30" s="66"/>
      <c r="FO30" s="66"/>
      <c r="FP30" s="66"/>
      <c r="FQ30" s="66"/>
      <c r="FR30" s="66"/>
      <c r="FS30" s="66"/>
      <c r="FT30" s="66"/>
      <c r="FU30" s="66"/>
      <c r="FV30" s="66"/>
      <c r="FW30" s="66"/>
      <c r="FX30" s="66"/>
      <c r="FY30" s="66"/>
      <c r="FZ30" s="66"/>
      <c r="GA30" s="66"/>
      <c r="GB30" s="66"/>
      <c r="GC30" s="66"/>
      <c r="GD30" s="66"/>
      <c r="GE30" s="66"/>
      <c r="GF30" s="66"/>
      <c r="GG30" s="66"/>
      <c r="GH30" s="66"/>
      <c r="GI30" s="66"/>
      <c r="GJ30" s="66"/>
      <c r="GK30" s="66"/>
      <c r="GL30" s="66"/>
      <c r="GM30" s="66"/>
      <c r="GN30" s="66"/>
      <c r="GO30" s="66"/>
      <c r="GP30" s="66"/>
      <c r="GQ30" s="66"/>
      <c r="GR30" s="66"/>
      <c r="GS30" s="66"/>
      <c r="GT30" s="66"/>
      <c r="GU30" s="66"/>
      <c r="GV30" s="66"/>
      <c r="GW30" s="66"/>
      <c r="GX30" s="66"/>
      <c r="GY30" s="66"/>
      <c r="GZ30" s="66"/>
      <c r="HA30" s="66"/>
      <c r="HB30" s="66"/>
      <c r="HC30" s="66"/>
      <c r="HD30" s="66"/>
      <c r="HE30" s="66"/>
      <c r="HF30" s="66"/>
      <c r="HG30" s="66"/>
      <c r="HH30" s="66"/>
      <c r="HI30" s="66"/>
      <c r="HJ30" s="66"/>
      <c r="HK30" s="66"/>
      <c r="HL30" s="66"/>
      <c r="HM30" s="66"/>
      <c r="HN30" s="66"/>
      <c r="HO30" s="66"/>
      <c r="HP30" s="66"/>
      <c r="HQ30" s="66"/>
      <c r="HR30" s="66"/>
      <c r="HS30" s="66"/>
      <c r="HT30" s="66"/>
      <c r="HU30" s="66"/>
      <c r="HV30" s="66"/>
      <c r="HW30" s="66"/>
      <c r="HX30" s="66"/>
      <c r="HY30" s="66"/>
      <c r="HZ30" s="66"/>
      <c r="IA30" s="66"/>
      <c r="IB30" s="66"/>
      <c r="IC30" s="66"/>
      <c r="ID30" s="66"/>
      <c r="IE30" s="66"/>
      <c r="IF30" s="66"/>
      <c r="IG30" s="66"/>
      <c r="IH30" s="66"/>
      <c r="II30" s="66"/>
      <c r="IJ30" s="66"/>
      <c r="IK30" s="66"/>
      <c r="IL30" s="66"/>
      <c r="IM30" s="66"/>
      <c r="IN30" s="66"/>
      <c r="IO30" s="66"/>
      <c r="IP30" s="66"/>
      <c r="IQ30" s="66"/>
      <c r="IR30" s="66"/>
      <c r="IS30" s="66"/>
      <c r="IT30" s="66"/>
      <c r="IU30" s="66"/>
      <c r="IV30" s="66"/>
      <c r="IW30" s="66"/>
      <c r="IX30" s="66"/>
      <c r="IY30" s="66"/>
      <c r="IZ30" s="66"/>
      <c r="JA30" s="66"/>
      <c r="JB30" s="66"/>
      <c r="JC30" s="66"/>
      <c r="JD30" s="66"/>
      <c r="JE30" s="66"/>
      <c r="JF30" s="66"/>
      <c r="JG30" s="66"/>
      <c r="JH30" s="66"/>
      <c r="JI30" s="66"/>
      <c r="JJ30" s="66"/>
      <c r="JK30" s="66"/>
      <c r="JL30" s="66"/>
      <c r="JM30" s="66"/>
      <c r="JN30" s="66"/>
      <c r="JO30" s="66"/>
      <c r="JP30" s="66"/>
      <c r="JQ30" s="66"/>
      <c r="JR30" s="66"/>
      <c r="JS30" s="66"/>
      <c r="JT30" s="66"/>
      <c r="JU30" s="66"/>
      <c r="JV30" s="66"/>
      <c r="JW30" s="66"/>
      <c r="JX30" s="66"/>
      <c r="JY30" s="66"/>
      <c r="JZ30" s="66"/>
      <c r="KA30" s="66"/>
      <c r="KB30" s="66"/>
      <c r="KC30" s="66"/>
      <c r="KD30" s="66"/>
      <c r="KE30" s="66"/>
      <c r="KF30" s="66"/>
      <c r="KG30" s="66"/>
      <c r="KH30" s="66"/>
      <c r="KI30" s="66"/>
      <c r="KJ30" s="66"/>
      <c r="KK30" s="66"/>
      <c r="KL30" s="66"/>
      <c r="KM30" s="66"/>
      <c r="KN30" s="66"/>
      <c r="KO30" s="66"/>
      <c r="KP30" s="66"/>
      <c r="KQ30" s="66"/>
      <c r="KR30" s="66"/>
      <c r="KS30" s="66"/>
      <c r="KT30" s="66"/>
      <c r="KU30" s="66"/>
      <c r="KV30" s="66"/>
      <c r="KW30" s="66"/>
      <c r="KX30" s="66"/>
      <c r="KY30" s="66"/>
      <c r="KZ30" s="66"/>
      <c r="LA30" s="66"/>
      <c r="LB30" s="66"/>
      <c r="LC30" s="66"/>
      <c r="LD30" s="66"/>
      <c r="LE30" s="66"/>
      <c r="LF30" s="66"/>
      <c r="LG30" s="66"/>
      <c r="LH30" s="66"/>
      <c r="LI30" s="66"/>
      <c r="LJ30" s="66"/>
      <c r="LK30" s="66"/>
      <c r="LL30" s="66"/>
      <c r="LM30" s="66"/>
      <c r="LN30" s="66"/>
      <c r="LO30" s="66"/>
      <c r="LP30" s="66"/>
      <c r="LQ30" s="66"/>
      <c r="LR30" s="66"/>
      <c r="LS30" s="66"/>
      <c r="LT30" s="66"/>
      <c r="LU30" s="66"/>
      <c r="LV30" s="66"/>
      <c r="LW30" s="66"/>
      <c r="LX30" s="66"/>
      <c r="LY30" s="66"/>
      <c r="LZ30" s="66"/>
      <c r="MA30" s="51"/>
      <c r="MB30" s="51"/>
      <c r="MC30" s="51"/>
      <c r="MD30" s="51"/>
      <c r="ME30" s="51"/>
      <c r="MF30" s="51"/>
      <c r="MG30" s="51"/>
      <c r="MH30" s="51"/>
      <c r="MI30" s="51"/>
      <c r="MJ30" s="51"/>
      <c r="MK30" s="51"/>
      <c r="ML30" s="51"/>
      <c r="MM30" s="51"/>
      <c r="MN30" s="51"/>
      <c r="MO30" s="51"/>
      <c r="MP30" s="66"/>
      <c r="MQ30" s="66"/>
      <c r="MR30" s="66"/>
      <c r="MS30" s="66"/>
      <c r="MT30" s="66"/>
      <c r="MU30" s="66"/>
      <c r="MV30" s="66"/>
      <c r="MW30" s="66"/>
      <c r="MX30" s="66"/>
      <c r="MY30" s="66"/>
      <c r="MZ30" s="66"/>
      <c r="NA30" s="66"/>
      <c r="NB30" s="66"/>
      <c r="NC30" s="66"/>
      <c r="ND30" s="66"/>
      <c r="NE30" s="66"/>
      <c r="NF30" s="66"/>
      <c r="NG30" s="66"/>
      <c r="NH30" s="66"/>
      <c r="NI30" s="66"/>
      <c r="NJ30" s="66"/>
      <c r="NK30" s="66"/>
      <c r="NL30" s="66"/>
      <c r="NM30" s="66"/>
      <c r="NN30" s="66"/>
      <c r="NO30" s="66"/>
      <c r="NP30" s="66"/>
      <c r="NQ30" s="66"/>
    </row>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sheetData>
  <mergeCells count="109">
    <mergeCell ref="AT4:AZ4"/>
    <mergeCell ref="BA4:BG4"/>
    <mergeCell ref="BH4:BN4"/>
    <mergeCell ref="BO4:BU4"/>
    <mergeCell ref="BV4:CB4"/>
    <mergeCell ref="CC4:CI4"/>
    <mergeCell ref="CJ4:CP4"/>
    <mergeCell ref="CQ4:CW4"/>
    <mergeCell ref="CX4:DD4"/>
    <mergeCell ref="DE4:DK4"/>
    <mergeCell ref="DL4:DR4"/>
    <mergeCell ref="DS4:DY4"/>
    <mergeCell ref="DZ4:EF4"/>
    <mergeCell ref="EG4:EM4"/>
    <mergeCell ref="EN4:ET4"/>
    <mergeCell ref="EU4:FA4"/>
    <mergeCell ref="FB4:FH4"/>
    <mergeCell ref="FI4:FO4"/>
    <mergeCell ref="FP4:FV4"/>
    <mergeCell ref="FW4:GC4"/>
    <mergeCell ref="GD4:GJ4"/>
    <mergeCell ref="GK4:GQ4"/>
    <mergeCell ref="GR4:GX4"/>
    <mergeCell ref="GY4:HE4"/>
    <mergeCell ref="HF4:HL4"/>
    <mergeCell ref="HM4:HS4"/>
    <mergeCell ref="HT4:HZ4"/>
    <mergeCell ref="IA4:IG4"/>
    <mergeCell ref="IH4:IN4"/>
    <mergeCell ref="IO4:IU4"/>
    <mergeCell ref="IV4:JB4"/>
    <mergeCell ref="JC4:JI4"/>
    <mergeCell ref="JJ4:JP4"/>
    <mergeCell ref="JQ4:JW4"/>
    <mergeCell ref="JX4:KD4"/>
    <mergeCell ref="MB4:MH4"/>
    <mergeCell ref="MI4:MO4"/>
    <mergeCell ref="MP4:MV4"/>
    <mergeCell ref="MW4:NC4"/>
    <mergeCell ref="ND4:NJ4"/>
    <mergeCell ref="NK4:NQ4"/>
    <mergeCell ref="KE4:KK4"/>
    <mergeCell ref="KL4:KR4"/>
    <mergeCell ref="KS4:KY4"/>
    <mergeCell ref="KZ4:LF4"/>
    <mergeCell ref="LG4:LM4"/>
    <mergeCell ref="LN4:LT4"/>
    <mergeCell ref="LU4:MA4"/>
    <mergeCell ref="HT5:HZ5"/>
    <mergeCell ref="IA5:IG5"/>
    <mergeCell ref="IH5:IN5"/>
    <mergeCell ref="IO5:IU5"/>
    <mergeCell ref="IV5:JB5"/>
    <mergeCell ref="JC5:JI5"/>
    <mergeCell ref="JJ5:JP5"/>
    <mergeCell ref="LN5:LT5"/>
    <mergeCell ref="LU5:MA5"/>
    <mergeCell ref="MB5:MH5"/>
    <mergeCell ref="MI5:MO5"/>
    <mergeCell ref="MP5:MV5"/>
    <mergeCell ref="MW5:NC5"/>
    <mergeCell ref="ND5:NJ5"/>
    <mergeCell ref="NK5:NQ5"/>
    <mergeCell ref="JQ5:JW5"/>
    <mergeCell ref="JX5:KD5"/>
    <mergeCell ref="KE5:KK5"/>
    <mergeCell ref="KL5:KR5"/>
    <mergeCell ref="KS5:KY5"/>
    <mergeCell ref="KZ5:LF5"/>
    <mergeCell ref="LG5:LM5"/>
    <mergeCell ref="K4:Q4"/>
    <mergeCell ref="K5:Q5"/>
    <mergeCell ref="R5:X5"/>
    <mergeCell ref="Y5:AE5"/>
    <mergeCell ref="K1:AE1"/>
    <mergeCell ref="C4:E4"/>
    <mergeCell ref="R4:X4"/>
    <mergeCell ref="Y4:AE4"/>
    <mergeCell ref="AF4:AL4"/>
    <mergeCell ref="AM4:AS4"/>
    <mergeCell ref="C5:E5"/>
    <mergeCell ref="AF5:AL5"/>
    <mergeCell ref="AM5:AS5"/>
    <mergeCell ref="AT5:AZ5"/>
    <mergeCell ref="BA5:BG5"/>
    <mergeCell ref="BH5:BN5"/>
    <mergeCell ref="BO5:BU5"/>
    <mergeCell ref="BV5:CB5"/>
    <mergeCell ref="CC5:CI5"/>
    <mergeCell ref="CJ5:CP5"/>
    <mergeCell ref="CQ5:CW5"/>
    <mergeCell ref="CX5:DD5"/>
    <mergeCell ref="DE5:DK5"/>
    <mergeCell ref="DL5:DR5"/>
    <mergeCell ref="DS5:DY5"/>
    <mergeCell ref="DZ5:EF5"/>
    <mergeCell ref="EG5:EM5"/>
    <mergeCell ref="EN5:ET5"/>
    <mergeCell ref="EU5:FA5"/>
    <mergeCell ref="FB5:FH5"/>
    <mergeCell ref="FI5:FO5"/>
    <mergeCell ref="FP5:FV5"/>
    <mergeCell ref="FW5:GC5"/>
    <mergeCell ref="GD5:GJ5"/>
    <mergeCell ref="GK5:GQ5"/>
    <mergeCell ref="GR5:GX5"/>
    <mergeCell ref="GY5:HE5"/>
    <mergeCell ref="HF5:HL5"/>
    <mergeCell ref="HM5:HS5"/>
  </mergeCells>
  <conditionalFormatting sqref="K6:AL30 AM9:AO11 AP10:JG11 JH10:NC10 AM15:AO15">
    <cfRule type="expression" dxfId="0" priority="1">
      <formula>K$6=TODAY()</formula>
    </cfRule>
  </conditionalFormatting>
  <conditionalFormatting sqref="K8:AL30 AM9:AO11 AP10:JG11 JH10:NC10 AM15:AO15">
    <cfRule type="expression" dxfId="1" priority="2">
      <formula>AND($E8&lt;=K$6,ROUNDDOWN(($F8-$E8+1)*$H8,0)+$E8-1&gt;=K$6)</formula>
    </cfRule>
  </conditionalFormatting>
  <conditionalFormatting sqref="K8:AL30 AM9:AO11 AP10:JG11 JH10:NC10 AM15:AO15">
    <cfRule type="expression" dxfId="2" priority="3">
      <formula>AND(NOT(ISBLANK($E8)),$E8&lt;=K$6,$F8&gt;=K$6)</formula>
    </cfRule>
  </conditionalFormatting>
  <conditionalFormatting sqref="K6:AL7">
    <cfRule type="expression" dxfId="3" priority="4">
      <formula>K$6=TODAY()</formula>
    </cfRule>
  </conditionalFormatting>
  <conditionalFormatting sqref="AM8:AO8 AP8:BN9 AM12:AO14 AP12:BD15 BE12:BN30 AM16:AO30 AP17:BD30">
    <cfRule type="expression" dxfId="0" priority="5">
      <formula>#REF!=TODAY()</formula>
    </cfRule>
  </conditionalFormatting>
  <conditionalFormatting sqref="AM8:AO8 AP8:BN9 AM12:AO14 AP12:BD15 BE12:BN30 AM16:AO30 AP17:BD30">
    <cfRule type="expression" dxfId="1" priority="6">
      <formula>AND($E8&lt;=#REF!,ROUNDDOWN(($F8-$E8+1)*$H8,0)+$E8-1&gt;=#REF!)</formula>
    </cfRule>
  </conditionalFormatting>
  <conditionalFormatting sqref="AM8:AO8 AP8:BN9 AM12:AO14 AP12:BD15 BE12:BN30 AM16:AO30 AP17:BD30">
    <cfRule type="expression" dxfId="2" priority="7">
      <formula>AND(NOT(ISBLANK($E8)),$E8&lt;=#REF!,$F8&gt;=#REF!)</formula>
    </cfRule>
  </conditionalFormatting>
  <conditionalFormatting sqref="AM6:AS7">
    <cfRule type="expression" dxfId="0" priority="8">
      <formula>AM$6=TODAY()</formula>
    </cfRule>
  </conditionalFormatting>
  <conditionalFormatting sqref="AM6:AS7">
    <cfRule type="expression" dxfId="3" priority="9">
      <formula>AM$6=TODAY()</formula>
    </cfRule>
  </conditionalFormatting>
  <conditionalFormatting sqref="AT6:AZ7">
    <cfRule type="expression" dxfId="0" priority="10">
      <formula>AT$6=TODAY()</formula>
    </cfRule>
  </conditionalFormatting>
  <conditionalFormatting sqref="AT6:AZ7">
    <cfRule type="expression" dxfId="3" priority="11">
      <formula>AT$6=TODAY()</formula>
    </cfRule>
  </conditionalFormatting>
  <conditionalFormatting sqref="BA6:BG7">
    <cfRule type="expression" dxfId="0" priority="12">
      <formula>BA$6=TODAY()</formula>
    </cfRule>
  </conditionalFormatting>
  <conditionalFormatting sqref="BA6:BG7">
    <cfRule type="expression" dxfId="3" priority="13">
      <formula>BA$6=TODAY()</formula>
    </cfRule>
  </conditionalFormatting>
  <conditionalFormatting sqref="BH6:BN7">
    <cfRule type="expression" dxfId="0" priority="14">
      <formula>BH$6=TODAY()</formula>
    </cfRule>
  </conditionalFormatting>
  <conditionalFormatting sqref="BH6:BN7">
    <cfRule type="expression" dxfId="3" priority="15">
      <formula>BH$6=TODAY()</formula>
    </cfRule>
  </conditionalFormatting>
  <conditionalFormatting sqref="BO6:BU7">
    <cfRule type="expression" dxfId="0" priority="16">
      <formula>BO$6=TODAY()</formula>
    </cfRule>
  </conditionalFormatting>
  <conditionalFormatting sqref="BO6:BU7">
    <cfRule type="expression" dxfId="3" priority="17">
      <formula>BO$6=TODAY()</formula>
    </cfRule>
  </conditionalFormatting>
  <conditionalFormatting sqref="BV6:CB7">
    <cfRule type="expression" dxfId="0" priority="18">
      <formula>BV$6=TODAY()</formula>
    </cfRule>
  </conditionalFormatting>
  <conditionalFormatting sqref="BV6:CB7">
    <cfRule type="expression" dxfId="3" priority="19">
      <formula>BV$6=TODAY()</formula>
    </cfRule>
  </conditionalFormatting>
  <conditionalFormatting sqref="CC6:CI7">
    <cfRule type="expression" dxfId="0" priority="20">
      <formula>CC$6=TODAY()</formula>
    </cfRule>
  </conditionalFormatting>
  <conditionalFormatting sqref="CC6:CI7">
    <cfRule type="expression" dxfId="3" priority="21">
      <formula>CC$6=TODAY()</formula>
    </cfRule>
  </conditionalFormatting>
  <conditionalFormatting sqref="CJ6:CP7">
    <cfRule type="expression" dxfId="0" priority="22">
      <formula>CJ$6=TODAY()</formula>
    </cfRule>
  </conditionalFormatting>
  <conditionalFormatting sqref="CJ6:CP7">
    <cfRule type="expression" dxfId="3" priority="23">
      <formula>CJ$6=TODAY()</formula>
    </cfRule>
  </conditionalFormatting>
  <conditionalFormatting sqref="CQ6:CW7">
    <cfRule type="expression" dxfId="0" priority="24">
      <formula>CQ$6=TODAY()</formula>
    </cfRule>
  </conditionalFormatting>
  <conditionalFormatting sqref="CQ6:CW7">
    <cfRule type="expression" dxfId="3" priority="25">
      <formula>CQ$6=TODAY()</formula>
    </cfRule>
  </conditionalFormatting>
  <conditionalFormatting sqref="CX6:DD7">
    <cfRule type="expression" dxfId="0" priority="26">
      <formula>CX$6=TODAY()</formula>
    </cfRule>
  </conditionalFormatting>
  <conditionalFormatting sqref="CX6:DD7">
    <cfRule type="expression" dxfId="3" priority="27">
      <formula>CX$6=TODAY()</formula>
    </cfRule>
  </conditionalFormatting>
  <conditionalFormatting sqref="DE6:DK7">
    <cfRule type="expression" dxfId="0" priority="28">
      <formula>DE$6=TODAY()</formula>
    </cfRule>
  </conditionalFormatting>
  <conditionalFormatting sqref="DE6:DK7">
    <cfRule type="expression" dxfId="3" priority="29">
      <formula>DE$6=TODAY()</formula>
    </cfRule>
  </conditionalFormatting>
  <conditionalFormatting sqref="DL6:DR7">
    <cfRule type="expression" dxfId="0" priority="30">
      <formula>DL$6=TODAY()</formula>
    </cfRule>
  </conditionalFormatting>
  <conditionalFormatting sqref="DL6:DR7">
    <cfRule type="expression" dxfId="3" priority="31">
      <formula>DL$6=TODAY()</formula>
    </cfRule>
  </conditionalFormatting>
  <conditionalFormatting sqref="DS6:DY7">
    <cfRule type="expression" dxfId="0" priority="32">
      <formula>DS$6=TODAY()</formula>
    </cfRule>
  </conditionalFormatting>
  <conditionalFormatting sqref="DS6:DY7">
    <cfRule type="expression" dxfId="3" priority="33">
      <formula>DS$6=TODAY()</formula>
    </cfRule>
  </conditionalFormatting>
  <conditionalFormatting sqref="DZ6:EF7">
    <cfRule type="expression" dxfId="0" priority="34">
      <formula>DZ$6=TODAY()</formula>
    </cfRule>
  </conditionalFormatting>
  <conditionalFormatting sqref="DZ6:EF7">
    <cfRule type="expression" dxfId="3" priority="35">
      <formula>DZ$6=TODAY()</formula>
    </cfRule>
  </conditionalFormatting>
  <conditionalFormatting sqref="EG6:EM7">
    <cfRule type="expression" dxfId="0" priority="36">
      <formula>EG$6=TODAY()</formula>
    </cfRule>
  </conditionalFormatting>
  <conditionalFormatting sqref="EG6:EM7">
    <cfRule type="expression" dxfId="3" priority="37">
      <formula>EG$6=TODAY()</formula>
    </cfRule>
  </conditionalFormatting>
  <conditionalFormatting sqref="EN6:ET7">
    <cfRule type="expression" dxfId="0" priority="38">
      <formula>EN$6=TODAY()</formula>
    </cfRule>
  </conditionalFormatting>
  <conditionalFormatting sqref="EN6:ET7">
    <cfRule type="expression" dxfId="3" priority="39">
      <formula>EN$6=TODAY()</formula>
    </cfRule>
  </conditionalFormatting>
  <conditionalFormatting sqref="EU6:FA7">
    <cfRule type="expression" dxfId="0" priority="40">
      <formula>EU$6=TODAY()</formula>
    </cfRule>
  </conditionalFormatting>
  <conditionalFormatting sqref="EU6:FA7">
    <cfRule type="expression" dxfId="3" priority="41">
      <formula>EU$6=TODAY()</formula>
    </cfRule>
  </conditionalFormatting>
  <conditionalFormatting sqref="FB6:FH7">
    <cfRule type="expression" dxfId="0" priority="42">
      <formula>FB$6=TODAY()</formula>
    </cfRule>
  </conditionalFormatting>
  <conditionalFormatting sqref="FB6:FH7">
    <cfRule type="expression" dxfId="3" priority="43">
      <formula>FB$6=TODAY()</formula>
    </cfRule>
  </conditionalFormatting>
  <conditionalFormatting sqref="FI6:FO7">
    <cfRule type="expression" dxfId="0" priority="44">
      <formula>FI$6=TODAY()</formula>
    </cfRule>
  </conditionalFormatting>
  <conditionalFormatting sqref="FI6:FO7">
    <cfRule type="expression" dxfId="3" priority="45">
      <formula>FI$6=TODAY()</formula>
    </cfRule>
  </conditionalFormatting>
  <conditionalFormatting sqref="FP6:FV7">
    <cfRule type="expression" dxfId="0" priority="46">
      <formula>FP$6=TODAY()</formula>
    </cfRule>
  </conditionalFormatting>
  <conditionalFormatting sqref="FP6:FV7">
    <cfRule type="expression" dxfId="3" priority="47">
      <formula>FP$6=TODAY()</formula>
    </cfRule>
  </conditionalFormatting>
  <conditionalFormatting sqref="FW6:GC7">
    <cfRule type="expression" dxfId="0" priority="48">
      <formula>FW$6=TODAY()</formula>
    </cfRule>
  </conditionalFormatting>
  <conditionalFormatting sqref="FW6:GC7">
    <cfRule type="expression" dxfId="3" priority="49">
      <formula>FW$6=TODAY()</formula>
    </cfRule>
  </conditionalFormatting>
  <conditionalFormatting sqref="GD6:GJ7">
    <cfRule type="expression" dxfId="0" priority="50">
      <formula>GD$6=TODAY()</formula>
    </cfRule>
  </conditionalFormatting>
  <conditionalFormatting sqref="GD6:GJ7">
    <cfRule type="expression" dxfId="3" priority="51">
      <formula>GD$6=TODAY()</formula>
    </cfRule>
  </conditionalFormatting>
  <conditionalFormatting sqref="GK6:GQ7">
    <cfRule type="expression" dxfId="0" priority="52">
      <formula>GK$6=TODAY()</formula>
    </cfRule>
  </conditionalFormatting>
  <conditionalFormatting sqref="GK6:GQ7">
    <cfRule type="expression" dxfId="3" priority="53">
      <formula>GK$6=TODAY()</formula>
    </cfRule>
  </conditionalFormatting>
  <conditionalFormatting sqref="GR6:GX7">
    <cfRule type="expression" dxfId="0" priority="54">
      <formula>GR$6=TODAY()</formula>
    </cfRule>
  </conditionalFormatting>
  <conditionalFormatting sqref="GR6:GX7">
    <cfRule type="expression" dxfId="3" priority="55">
      <formula>GR$6=TODAY()</formula>
    </cfRule>
  </conditionalFormatting>
  <conditionalFormatting sqref="GY6:HE7">
    <cfRule type="expression" dxfId="0" priority="56">
      <formula>GY$6=TODAY()</formula>
    </cfRule>
  </conditionalFormatting>
  <conditionalFormatting sqref="GY6:HE7">
    <cfRule type="expression" dxfId="3" priority="57">
      <formula>GY$6=TODAY()</formula>
    </cfRule>
  </conditionalFormatting>
  <conditionalFormatting sqref="HF6:HL7">
    <cfRule type="expression" dxfId="0" priority="58">
      <formula>HF$6=TODAY()</formula>
    </cfRule>
  </conditionalFormatting>
  <conditionalFormatting sqref="HF6:HL7">
    <cfRule type="expression" dxfId="3" priority="59">
      <formula>HF$6=TODAY()</formula>
    </cfRule>
  </conditionalFormatting>
  <conditionalFormatting sqref="HM6:HS7">
    <cfRule type="expression" dxfId="0" priority="60">
      <formula>HM$6=TODAY()</formula>
    </cfRule>
  </conditionalFormatting>
  <conditionalFormatting sqref="HM6:HS7">
    <cfRule type="expression" dxfId="3" priority="61">
      <formula>HM$6=TODAY()</formula>
    </cfRule>
  </conditionalFormatting>
  <conditionalFormatting sqref="HT6:HZ7">
    <cfRule type="expression" dxfId="0" priority="62">
      <formula>HT$6=TODAY()</formula>
    </cfRule>
  </conditionalFormatting>
  <conditionalFormatting sqref="HT6:HZ7">
    <cfRule type="expression" dxfId="3" priority="63">
      <formula>HT$6=TODAY()</formula>
    </cfRule>
  </conditionalFormatting>
  <conditionalFormatting sqref="IA6:IG7">
    <cfRule type="expression" dxfId="0" priority="64">
      <formula>IA$6=TODAY()</formula>
    </cfRule>
  </conditionalFormatting>
  <conditionalFormatting sqref="IA6:IG7">
    <cfRule type="expression" dxfId="3" priority="65">
      <formula>IA$6=TODAY()</formula>
    </cfRule>
  </conditionalFormatting>
  <conditionalFormatting sqref="IH6:IN7">
    <cfRule type="expression" dxfId="0" priority="66">
      <formula>IH$6=TODAY()</formula>
    </cfRule>
  </conditionalFormatting>
  <conditionalFormatting sqref="IH6:IN7">
    <cfRule type="expression" dxfId="3" priority="67">
      <formula>IH$6=TODAY()</formula>
    </cfRule>
  </conditionalFormatting>
  <conditionalFormatting sqref="IO6:IU7">
    <cfRule type="expression" dxfId="0" priority="68">
      <formula>IO$6=TODAY()</formula>
    </cfRule>
  </conditionalFormatting>
  <conditionalFormatting sqref="IO6:IU7">
    <cfRule type="expression" dxfId="3" priority="69">
      <formula>IO$6=TODAY()</formula>
    </cfRule>
  </conditionalFormatting>
  <conditionalFormatting sqref="IV6:JB7">
    <cfRule type="expression" dxfId="0" priority="70">
      <formula>IV$6=TODAY()</formula>
    </cfRule>
  </conditionalFormatting>
  <conditionalFormatting sqref="IV6:JB7">
    <cfRule type="expression" dxfId="3" priority="71">
      <formula>IV$6=TODAY()</formula>
    </cfRule>
  </conditionalFormatting>
  <conditionalFormatting sqref="JC6:JI7">
    <cfRule type="expression" dxfId="0" priority="72">
      <formula>JC$6=TODAY()</formula>
    </cfRule>
  </conditionalFormatting>
  <conditionalFormatting sqref="JC6:JI7">
    <cfRule type="expression" dxfId="3" priority="73">
      <formula>JC$6=TODAY()</formula>
    </cfRule>
  </conditionalFormatting>
  <conditionalFormatting sqref="JJ6:JP7">
    <cfRule type="expression" dxfId="0" priority="74">
      <formula>JJ$6=TODAY()</formula>
    </cfRule>
  </conditionalFormatting>
  <conditionalFormatting sqref="JJ6:JP7">
    <cfRule type="expression" dxfId="3" priority="75">
      <formula>JJ$6=TODAY()</formula>
    </cfRule>
  </conditionalFormatting>
  <conditionalFormatting sqref="JQ6:JW7">
    <cfRule type="expression" dxfId="0" priority="76">
      <formula>JQ$6=TODAY()</formula>
    </cfRule>
  </conditionalFormatting>
  <conditionalFormatting sqref="JQ6:JW7">
    <cfRule type="expression" dxfId="3" priority="77">
      <formula>JQ$6=TODAY()</formula>
    </cfRule>
  </conditionalFormatting>
  <conditionalFormatting sqref="JX6:KD7">
    <cfRule type="expression" dxfId="0" priority="78">
      <formula>JX$6=TODAY()</formula>
    </cfRule>
  </conditionalFormatting>
  <conditionalFormatting sqref="JX6:KD7">
    <cfRule type="expression" dxfId="3" priority="79">
      <formula>JX$6=TODAY()</formula>
    </cfRule>
  </conditionalFormatting>
  <conditionalFormatting sqref="KE6:KK7">
    <cfRule type="expression" dxfId="0" priority="80">
      <formula>KE$6=TODAY()</formula>
    </cfRule>
  </conditionalFormatting>
  <conditionalFormatting sqref="KE6:KK7">
    <cfRule type="expression" dxfId="3" priority="81">
      <formula>KE$6=TODAY()</formula>
    </cfRule>
  </conditionalFormatting>
  <conditionalFormatting sqref="KL6:KR7">
    <cfRule type="expression" dxfId="0" priority="82">
      <formula>KL$6=TODAY()</formula>
    </cfRule>
  </conditionalFormatting>
  <conditionalFormatting sqref="KL6:KR7">
    <cfRule type="expression" dxfId="3" priority="83">
      <formula>KL$6=TODAY()</formula>
    </cfRule>
  </conditionalFormatting>
  <conditionalFormatting sqref="KS6:KY7">
    <cfRule type="expression" dxfId="0" priority="84">
      <formula>KS$6=TODAY()</formula>
    </cfRule>
  </conditionalFormatting>
  <conditionalFormatting sqref="KS6:KY7">
    <cfRule type="expression" dxfId="3" priority="85">
      <formula>KS$6=TODAY()</formula>
    </cfRule>
  </conditionalFormatting>
  <conditionalFormatting sqref="KZ6:LF7">
    <cfRule type="expression" dxfId="0" priority="86">
      <formula>KZ$6=TODAY()</formula>
    </cfRule>
  </conditionalFormatting>
  <conditionalFormatting sqref="KZ6:LF7">
    <cfRule type="expression" dxfId="3" priority="87">
      <formula>KZ$6=TODAY()</formula>
    </cfRule>
  </conditionalFormatting>
  <conditionalFormatting sqref="LG6:LM7">
    <cfRule type="expression" dxfId="0" priority="88">
      <formula>LG$6=TODAY()</formula>
    </cfRule>
  </conditionalFormatting>
  <conditionalFormatting sqref="LG6:LM7">
    <cfRule type="expression" dxfId="3" priority="89">
      <formula>LG$6=TODAY()</formula>
    </cfRule>
  </conditionalFormatting>
  <conditionalFormatting sqref="LN6:LT7">
    <cfRule type="expression" dxfId="0" priority="90">
      <formula>LN$6=TODAY()</formula>
    </cfRule>
  </conditionalFormatting>
  <conditionalFormatting sqref="LN6:LT7">
    <cfRule type="expression" dxfId="3" priority="91">
      <formula>LN$6=TODAY()</formula>
    </cfRule>
  </conditionalFormatting>
  <conditionalFormatting sqref="LU6:MA7">
    <cfRule type="expression" dxfId="0" priority="92">
      <formula>LU$6=TODAY()</formula>
    </cfRule>
  </conditionalFormatting>
  <conditionalFormatting sqref="LU6:MA7">
    <cfRule type="expression" dxfId="3" priority="93">
      <formula>LU$6=TODAY()</formula>
    </cfRule>
  </conditionalFormatting>
  <conditionalFormatting sqref="MB6:MH7">
    <cfRule type="expression" dxfId="0" priority="94">
      <formula>MB$6=TODAY()</formula>
    </cfRule>
  </conditionalFormatting>
  <conditionalFormatting sqref="MB6:MH7">
    <cfRule type="expression" dxfId="3" priority="95">
      <formula>MB$6=TODAY()</formula>
    </cfRule>
  </conditionalFormatting>
  <conditionalFormatting sqref="MI6:MO7">
    <cfRule type="expression" dxfId="0" priority="96">
      <formula>MI$6=TODAY()</formula>
    </cfRule>
  </conditionalFormatting>
  <conditionalFormatting sqref="MI6:MO7">
    <cfRule type="expression" dxfId="3" priority="97">
      <formula>MI$6=TODAY()</formula>
    </cfRule>
  </conditionalFormatting>
  <conditionalFormatting sqref="MP6:MV7">
    <cfRule type="expression" dxfId="0" priority="98">
      <formula>MP$6=TODAY()</formula>
    </cfRule>
  </conditionalFormatting>
  <conditionalFormatting sqref="MP6:MV7">
    <cfRule type="expression" dxfId="3" priority="99">
      <formula>MP$6=TODAY()</formula>
    </cfRule>
  </conditionalFormatting>
  <conditionalFormatting sqref="MW6:NC7">
    <cfRule type="expression" dxfId="0" priority="100">
      <formula>MW$6=TODAY()</formula>
    </cfRule>
  </conditionalFormatting>
  <conditionalFormatting sqref="MW6:NC7">
    <cfRule type="expression" dxfId="3" priority="101">
      <formula>MW$6=TODAY()</formula>
    </cfRule>
  </conditionalFormatting>
  <conditionalFormatting sqref="ND6:NJ7">
    <cfRule type="expression" dxfId="0" priority="102">
      <formula>ND$6=TODAY()</formula>
    </cfRule>
  </conditionalFormatting>
  <conditionalFormatting sqref="ND6:NJ7">
    <cfRule type="expression" dxfId="3" priority="103">
      <formula>ND$6=TODAY()</formula>
    </cfRule>
  </conditionalFormatting>
  <conditionalFormatting sqref="NK6:NQ7">
    <cfRule type="expression" dxfId="0" priority="104">
      <formula>NK$6=TODAY()</formula>
    </cfRule>
  </conditionalFormatting>
  <conditionalFormatting sqref="NK6:NQ7">
    <cfRule type="expression" dxfId="3" priority="105">
      <formula>NK$6=TODAY()</formula>
    </cfRule>
  </conditionalFormatting>
  <conditionalFormatting sqref="AP16:BD16">
    <cfRule type="expression" dxfId="0" priority="106">
      <formula>AP$6=TODAY()</formula>
    </cfRule>
  </conditionalFormatting>
  <conditionalFormatting sqref="AP16:BD16">
    <cfRule type="expression" dxfId="1" priority="107">
      <formula>AND($E16&lt;=AP$6,ROUNDDOWN(($F16-$E16+1)*$H16,0)+$E16-1&gt;=AP$6)</formula>
    </cfRule>
  </conditionalFormatting>
  <conditionalFormatting sqref="AP16:BD16">
    <cfRule type="expression" dxfId="2" priority="108">
      <formula>AND(NOT(ISBLANK($E16)),$E16&lt;=AP$6,$F16&gt;=AP$6)</formula>
    </cfRule>
  </conditionalFormatting>
  <conditionalFormatting sqref="CH18:CR18">
    <cfRule type="expression" dxfId="0" priority="109">
      <formula>CH$6=TODAY()</formula>
    </cfRule>
  </conditionalFormatting>
  <conditionalFormatting sqref="CH18:CR18">
    <cfRule type="expression" dxfId="1" priority="110">
      <formula>AND($E18&lt;=CH$6,ROUNDDOWN(($F18-$E18+1)*$H18,0)+$E18-1&gt;=CH$6)</formula>
    </cfRule>
  </conditionalFormatting>
  <conditionalFormatting sqref="CH18:CR18">
    <cfRule type="expression" dxfId="2" priority="111">
      <formula>AND(NOT(ISBLANK($E18)),$E18&lt;=CH$6,$F18&gt;=CH$6)</formula>
    </cfRule>
  </conditionalFormatting>
  <conditionalFormatting sqref="CR19:DD19">
    <cfRule type="expression" dxfId="0" priority="112">
      <formula>CR$6=TODAY()</formula>
    </cfRule>
  </conditionalFormatting>
  <conditionalFormatting sqref="CR19:DD19">
    <cfRule type="expression" dxfId="1" priority="113">
      <formula>AND($E19&lt;=CR$6,ROUNDDOWN(($F19-$E19+1)*$H19,0)+$E19-1&gt;=CR$6)</formula>
    </cfRule>
  </conditionalFormatting>
  <conditionalFormatting sqref="CR19:DD19">
    <cfRule type="expression" dxfId="2" priority="114">
      <formula>AND(NOT(ISBLANK($E19)),$E19&lt;=CR$6,$F19&gt;=CR$6)</formula>
    </cfRule>
  </conditionalFormatting>
  <conditionalFormatting sqref="HT21:IY21">
    <cfRule type="expression" dxfId="0" priority="115">
      <formula>HT$6=TODAY()</formula>
    </cfRule>
  </conditionalFormatting>
  <conditionalFormatting sqref="HT21:IY21">
    <cfRule type="expression" dxfId="1" priority="116">
      <formula>AND($E21&lt;=HT$6,ROUNDDOWN(($F21-$E21+1)*$H21,0)+$E21-1&gt;=HT$6)</formula>
    </cfRule>
  </conditionalFormatting>
  <conditionalFormatting sqref="HT21:IY21">
    <cfRule type="expression" dxfId="2" priority="117">
      <formula>AND(NOT(ISBLANK($E21)),$E21&lt;=HT$6,$F21&gt;=HT$6)</formula>
    </cfRule>
  </conditionalFormatting>
  <conditionalFormatting sqref="II22:JR22">
    <cfRule type="expression" dxfId="0" priority="118">
      <formula>II$6=TODAY()</formula>
    </cfRule>
  </conditionalFormatting>
  <conditionalFormatting sqref="II22:JR22">
    <cfRule type="expression" dxfId="1" priority="119">
      <formula>AND($E22&lt;=II$6,ROUNDDOWN(($F22-$E22+1)*$H22,0)+$E22-1&gt;=II$6)</formula>
    </cfRule>
  </conditionalFormatting>
  <conditionalFormatting sqref="II22:JR22">
    <cfRule type="expression" dxfId="2" priority="120">
      <formula>AND(NOT(ISBLANK($E22)),$E22&lt;=II$6,$F22&gt;=II$6)</formula>
    </cfRule>
  </conditionalFormatting>
  <conditionalFormatting sqref="JC23:KG23">
    <cfRule type="expression" dxfId="0" priority="121">
      <formula>JC$6=TODAY()</formula>
    </cfRule>
  </conditionalFormatting>
  <conditionalFormatting sqref="JC23:KG23">
    <cfRule type="expression" dxfId="1" priority="122">
      <formula>AND($E23&lt;=JC$6,ROUNDDOWN(($F23-$E23+1)*$H23,0)+$E23-1&gt;=JC$6)</formula>
    </cfRule>
  </conditionalFormatting>
  <conditionalFormatting sqref="JC23:KG23">
    <cfRule type="expression" dxfId="2" priority="123">
      <formula>AND(NOT(ISBLANK($E23)),$E23&lt;=JC$6,$F23&gt;=JC$6)</formula>
    </cfRule>
  </conditionalFormatting>
  <conditionalFormatting sqref="JZ25:KR25">
    <cfRule type="expression" dxfId="0" priority="124">
      <formula>JZ$6=TODAY()</formula>
    </cfRule>
  </conditionalFormatting>
  <conditionalFormatting sqref="JZ25:KR25">
    <cfRule type="expression" dxfId="1" priority="125">
      <formula>AND($E25&lt;=JZ$6,ROUNDDOWN(($F25-$E25+1)*$H25,0)+$E25-1&gt;=JZ$6)</formula>
    </cfRule>
  </conditionalFormatting>
  <conditionalFormatting sqref="JZ25:KR25">
    <cfRule type="expression" dxfId="2" priority="126">
      <formula>AND(NOT(ISBLANK($E25)),$E25&lt;=JZ$6,$F25&gt;=JZ$6)</formula>
    </cfRule>
  </conditionalFormatting>
  <conditionalFormatting sqref="KE26:LB26">
    <cfRule type="expression" dxfId="0" priority="127">
      <formula>KE$6=TODAY()</formula>
    </cfRule>
  </conditionalFormatting>
  <conditionalFormatting sqref="KE26:LB26">
    <cfRule type="expression" dxfId="1" priority="128">
      <formula>AND($E26&lt;=KE$6,ROUNDDOWN(($F26-$E26+1)*$H26,0)+$E26-1&gt;=KE$6)</formula>
    </cfRule>
  </conditionalFormatting>
  <conditionalFormatting sqref="KE26:LB26">
    <cfRule type="expression" dxfId="2" priority="129">
      <formula>AND(NOT(ISBLANK($E26)),$E26&lt;=KE$6,$F26&gt;=KE$6)</formula>
    </cfRule>
  </conditionalFormatting>
  <conditionalFormatting sqref="KT27:LL27">
    <cfRule type="expression" dxfId="0" priority="130">
      <formula>KT$6=TODAY()</formula>
    </cfRule>
  </conditionalFormatting>
  <conditionalFormatting sqref="KT27:LL27">
    <cfRule type="expression" dxfId="1" priority="131">
      <formula>AND($E27&lt;=KT$6,ROUNDDOWN(($F27-$E27+1)*$H27,0)+$E27-1&gt;=KT$6)</formula>
    </cfRule>
  </conditionalFormatting>
  <conditionalFormatting sqref="KT27:LL27">
    <cfRule type="expression" dxfId="2" priority="132">
      <formula>AND(NOT(ISBLANK($E27)),$E27&lt;=KT$6,$F27&gt;=KT$6)</formula>
    </cfRule>
  </conditionalFormatting>
  <conditionalFormatting sqref="LT29:MT29">
    <cfRule type="expression" dxfId="0" priority="133">
      <formula>LT$6=TODAY()</formula>
    </cfRule>
  </conditionalFormatting>
  <conditionalFormatting sqref="LT29:MT29">
    <cfRule type="expression" dxfId="1" priority="134">
      <formula>AND($E29&lt;=LT$6,ROUNDDOWN(($F29-$E29+1)*$H29,0)+$E29-1&gt;=LT$6)</formula>
    </cfRule>
  </conditionalFormatting>
  <conditionalFormatting sqref="LT29:MT29">
    <cfRule type="expression" dxfId="2" priority="135">
      <formula>AND(NOT(ISBLANK($E29)),$E29&lt;=LT$6,$F29&gt;=LT$6)</formula>
    </cfRule>
  </conditionalFormatting>
  <conditionalFormatting sqref="MA30:MO30">
    <cfRule type="expression" dxfId="0" priority="136">
      <formula>MA$6=TODAY()</formula>
    </cfRule>
  </conditionalFormatting>
  <conditionalFormatting sqref="MA30:MO30">
    <cfRule type="expression" dxfId="1" priority="137">
      <formula>AND($E30&lt;=MA$6,ROUNDDOWN(($F30-$E30+1)*$H30,0)+$E30-1&gt;=MA$6)</formula>
    </cfRule>
  </conditionalFormatting>
  <conditionalFormatting sqref="MA30:MO30">
    <cfRule type="expression" dxfId="2" priority="138">
      <formula>AND(NOT(ISBLANK($E30)),$E30&lt;=MA$6,$F30&gt;=MA$6)</formula>
    </cfRule>
  </conditionalFormatting>
  <printOptions/>
  <pageMargins bottom="0.5" footer="0.0" header="0.0" left="0.25" right="0.25" top="0.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5"/>
    <col customWidth="1" min="2" max="2" width="37.75"/>
    <col customWidth="1" min="3" max="3" width="55.13"/>
    <col customWidth="1" min="4" max="6" width="8.88"/>
    <col customWidth="1" min="7" max="26" width="9.13"/>
  </cols>
  <sheetData>
    <row r="1" ht="30.0" customHeight="1">
      <c r="A1" s="69" t="s">
        <v>39</v>
      </c>
      <c r="C1" s="70"/>
    </row>
    <row r="2" ht="12.0" customHeight="1"/>
    <row r="3" ht="12.0" customHeight="1"/>
    <row r="4" ht="12.0" customHeight="1">
      <c r="C4" s="71" t="s">
        <v>40</v>
      </c>
    </row>
    <row r="5" ht="12.0" customHeight="1">
      <c r="C5" s="10" t="s">
        <v>41</v>
      </c>
    </row>
    <row r="6" ht="12.0" customHeight="1">
      <c r="C6" s="10"/>
    </row>
    <row r="7" ht="12.0" customHeight="1">
      <c r="C7" s="72" t="s">
        <v>42</v>
      </c>
    </row>
    <row r="8" ht="12.0" customHeight="1">
      <c r="C8" s="73" t="s">
        <v>43</v>
      </c>
    </row>
    <row r="9" ht="12.0" customHeight="1"/>
    <row r="10" ht="12.0" customHeight="1">
      <c r="C10" s="10" t="s">
        <v>44</v>
      </c>
    </row>
    <row r="11" ht="12.0" customHeight="1">
      <c r="C11" s="10" t="s">
        <v>45</v>
      </c>
    </row>
    <row r="12" ht="12.0" customHeight="1"/>
    <row r="13" ht="12.0" customHeight="1">
      <c r="C13" s="72" t="s">
        <v>46</v>
      </c>
    </row>
    <row r="14" ht="12.0" customHeight="1"/>
    <row r="15" ht="12.0" customHeight="1"/>
    <row r="16" ht="12.0" customHeight="1">
      <c r="A16" s="74" t="s">
        <v>47</v>
      </c>
    </row>
    <row r="17" ht="12.0" customHeight="1"/>
    <row r="18" ht="12.0" customHeight="1">
      <c r="B18" s="75" t="s">
        <v>48</v>
      </c>
    </row>
    <row r="19" ht="12.0" customHeight="1">
      <c r="B19" s="10" t="s">
        <v>49</v>
      </c>
    </row>
    <row r="20" ht="12.0" customHeight="1">
      <c r="B20" s="10" t="s">
        <v>50</v>
      </c>
    </row>
    <row r="21" ht="12.0" customHeight="1"/>
    <row r="22" ht="12.0" customHeight="1">
      <c r="B22" s="75" t="s">
        <v>51</v>
      </c>
    </row>
    <row r="23" ht="12.0" customHeight="1">
      <c r="B23" s="10" t="s">
        <v>52</v>
      </c>
    </row>
    <row r="24" ht="12.0" customHeight="1">
      <c r="B24" s="10" t="s">
        <v>53</v>
      </c>
    </row>
    <row r="25" ht="12.0" customHeight="1"/>
    <row r="26" ht="12.0" customHeight="1">
      <c r="B26" s="75" t="s">
        <v>54</v>
      </c>
    </row>
    <row r="27" ht="12.0" customHeight="1">
      <c r="B27" s="10" t="s">
        <v>55</v>
      </c>
    </row>
    <row r="28" ht="12.0" customHeight="1">
      <c r="B28" s="10" t="s">
        <v>56</v>
      </c>
    </row>
    <row r="29" ht="12.0" customHeight="1">
      <c r="B29" s="10" t="s">
        <v>57</v>
      </c>
    </row>
    <row r="30" ht="12.0" customHeight="1">
      <c r="B30" s="70" t="s">
        <v>58</v>
      </c>
    </row>
    <row r="31" ht="12.0" customHeight="1">
      <c r="B31" s="70" t="s">
        <v>59</v>
      </c>
    </row>
    <row r="32" ht="12.0" customHeight="1">
      <c r="B32" s="70" t="s">
        <v>60</v>
      </c>
    </row>
    <row r="33" ht="12.0" customHeight="1"/>
    <row r="34" ht="12.0" customHeight="1">
      <c r="B34" s="75" t="s">
        <v>61</v>
      </c>
    </row>
    <row r="35" ht="12.0" customHeight="1">
      <c r="B35" s="10" t="s">
        <v>62</v>
      </c>
    </row>
    <row r="36" ht="12.0" customHeight="1">
      <c r="B36" s="10" t="s">
        <v>63</v>
      </c>
    </row>
    <row r="37" ht="12.0" customHeight="1">
      <c r="B37" s="10" t="s">
        <v>64</v>
      </c>
    </row>
    <row r="38" ht="12.0" customHeight="1"/>
    <row r="39" ht="12.0" customHeight="1">
      <c r="B39" s="75" t="s">
        <v>65</v>
      </c>
    </row>
    <row r="40" ht="12.0" customHeight="1">
      <c r="B40" s="10" t="s">
        <v>66</v>
      </c>
    </row>
    <row r="41" ht="12.0" customHeight="1"/>
    <row r="42" ht="12.0" customHeight="1">
      <c r="B42" s="75" t="s">
        <v>67</v>
      </c>
    </row>
    <row r="43" ht="12.0" customHeight="1">
      <c r="B43" s="10" t="s">
        <v>68</v>
      </c>
    </row>
    <row r="44" ht="12.0" customHeight="1">
      <c r="B44" s="10" t="s">
        <v>69</v>
      </c>
    </row>
    <row r="45" ht="12.0" customHeight="1"/>
    <row r="46" ht="12.0" customHeight="1">
      <c r="B46" s="72" t="s">
        <v>70</v>
      </c>
    </row>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hyperlinks>
    <hyperlink r:id="rId1" ref="C7"/>
    <hyperlink r:id="rId2" ref="C13"/>
    <hyperlink r:id="rId3" ref="B46"/>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5"/>
    <col customWidth="1" min="2" max="2" width="90.5"/>
    <col customWidth="1" min="3" max="3" width="16.5"/>
    <col customWidth="1" min="4" max="26" width="8.88"/>
  </cols>
  <sheetData>
    <row r="1" ht="30.0" customHeight="1">
      <c r="A1" s="76" t="s">
        <v>71</v>
      </c>
      <c r="B1" s="77"/>
      <c r="C1" s="10"/>
      <c r="D1" s="10"/>
      <c r="E1" s="10"/>
      <c r="F1" s="10"/>
      <c r="G1" s="10"/>
      <c r="H1" s="10"/>
      <c r="I1" s="10"/>
      <c r="J1" s="10"/>
      <c r="K1" s="10"/>
      <c r="L1" s="10"/>
      <c r="M1" s="10"/>
      <c r="N1" s="10"/>
      <c r="O1" s="10"/>
      <c r="P1" s="10"/>
      <c r="Q1" s="10"/>
      <c r="R1" s="10"/>
      <c r="S1" s="10"/>
      <c r="T1" s="10"/>
      <c r="U1" s="10"/>
      <c r="V1" s="10"/>
      <c r="W1" s="10"/>
      <c r="X1" s="10"/>
      <c r="Y1" s="10"/>
      <c r="Z1" s="10"/>
    </row>
    <row r="2" ht="12.0" customHeight="1">
      <c r="A2" s="78" t="s">
        <v>43</v>
      </c>
      <c r="B2" s="79"/>
      <c r="C2" s="10"/>
      <c r="D2" s="10"/>
      <c r="E2" s="10"/>
      <c r="F2" s="10"/>
      <c r="G2" s="10"/>
      <c r="H2" s="10"/>
      <c r="I2" s="10"/>
      <c r="J2" s="10"/>
      <c r="K2" s="10"/>
      <c r="L2" s="10"/>
      <c r="M2" s="10"/>
      <c r="N2" s="10"/>
      <c r="O2" s="10"/>
      <c r="P2" s="10"/>
      <c r="Q2" s="10"/>
      <c r="R2" s="10"/>
      <c r="S2" s="10"/>
      <c r="T2" s="10"/>
      <c r="U2" s="10"/>
      <c r="V2" s="10"/>
      <c r="W2" s="10"/>
      <c r="X2" s="10"/>
      <c r="Y2" s="10"/>
      <c r="Z2" s="10"/>
    </row>
    <row r="3" ht="12.0" customHeight="1">
      <c r="A3" s="10"/>
      <c r="B3" s="79"/>
      <c r="C3" s="10"/>
      <c r="D3" s="10"/>
      <c r="E3" s="10"/>
      <c r="F3" s="10"/>
      <c r="G3" s="10"/>
      <c r="H3" s="10"/>
      <c r="I3" s="10"/>
      <c r="J3" s="10"/>
      <c r="K3" s="10"/>
      <c r="L3" s="10"/>
      <c r="M3" s="10"/>
      <c r="N3" s="10"/>
      <c r="O3" s="10"/>
      <c r="P3" s="10"/>
      <c r="Q3" s="10"/>
      <c r="R3" s="10"/>
      <c r="S3" s="10"/>
      <c r="T3" s="10"/>
      <c r="U3" s="10"/>
      <c r="V3" s="10"/>
      <c r="W3" s="10"/>
      <c r="X3" s="10"/>
      <c r="Y3" s="10"/>
      <c r="Z3" s="10"/>
    </row>
    <row r="4" ht="12.0" customHeight="1">
      <c r="A4" s="80" t="s">
        <v>72</v>
      </c>
      <c r="B4" s="74"/>
      <c r="C4" s="10"/>
      <c r="D4" s="10"/>
      <c r="E4" s="10"/>
      <c r="F4" s="10"/>
      <c r="G4" s="10"/>
      <c r="H4" s="10"/>
      <c r="I4" s="10"/>
      <c r="J4" s="10"/>
      <c r="K4" s="10"/>
      <c r="L4" s="10"/>
      <c r="M4" s="10"/>
      <c r="N4" s="10"/>
      <c r="O4" s="10"/>
      <c r="P4" s="10"/>
      <c r="Q4" s="10"/>
      <c r="R4" s="10"/>
      <c r="S4" s="10"/>
      <c r="T4" s="10"/>
      <c r="U4" s="10"/>
      <c r="V4" s="10"/>
      <c r="W4" s="10"/>
      <c r="X4" s="10"/>
      <c r="Y4" s="10"/>
      <c r="Z4" s="10"/>
    </row>
    <row r="5" ht="12.0" customHeight="1">
      <c r="A5" s="10"/>
      <c r="B5" s="81" t="s">
        <v>73</v>
      </c>
      <c r="C5" s="10"/>
      <c r="D5" s="10"/>
      <c r="E5" s="10"/>
      <c r="F5" s="10"/>
      <c r="G5" s="10"/>
      <c r="H5" s="10"/>
      <c r="I5" s="10"/>
      <c r="J5" s="10"/>
      <c r="K5" s="10"/>
      <c r="L5" s="10"/>
      <c r="M5" s="10"/>
      <c r="N5" s="10"/>
      <c r="O5" s="10"/>
      <c r="P5" s="10"/>
      <c r="Q5" s="10"/>
      <c r="R5" s="10"/>
      <c r="S5" s="10"/>
      <c r="T5" s="10"/>
      <c r="U5" s="10"/>
      <c r="V5" s="10"/>
      <c r="W5" s="10"/>
      <c r="X5" s="10"/>
      <c r="Y5" s="10"/>
      <c r="Z5" s="10"/>
    </row>
    <row r="6" ht="12.0"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2.0" customHeight="1">
      <c r="A7" s="10"/>
      <c r="B7" s="81" t="s">
        <v>74</v>
      </c>
      <c r="C7" s="10"/>
      <c r="D7" s="10"/>
      <c r="E7" s="10"/>
      <c r="F7" s="10"/>
      <c r="G7" s="10"/>
      <c r="H7" s="10"/>
      <c r="I7" s="10"/>
      <c r="J7" s="10"/>
      <c r="K7" s="10"/>
      <c r="L7" s="10"/>
      <c r="M7" s="10"/>
      <c r="N7" s="10"/>
      <c r="O7" s="10"/>
      <c r="P7" s="10"/>
      <c r="Q7" s="10"/>
      <c r="R7" s="10"/>
      <c r="S7" s="10"/>
      <c r="T7" s="10"/>
      <c r="U7" s="10"/>
      <c r="V7" s="10"/>
      <c r="W7" s="10"/>
      <c r="X7" s="10"/>
      <c r="Y7" s="10"/>
      <c r="Z7" s="10"/>
    </row>
    <row r="8" ht="12.0"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2.0" customHeight="1">
      <c r="A9" s="10"/>
      <c r="B9" s="78" t="s">
        <v>75</v>
      </c>
      <c r="C9" s="10"/>
      <c r="D9" s="10"/>
      <c r="E9" s="10"/>
      <c r="F9" s="10"/>
      <c r="G9" s="10"/>
      <c r="H9" s="10"/>
      <c r="I9" s="10"/>
      <c r="J9" s="10"/>
      <c r="K9" s="10"/>
      <c r="L9" s="10"/>
      <c r="M9" s="10"/>
      <c r="N9" s="10"/>
      <c r="O9" s="10"/>
      <c r="P9" s="10"/>
      <c r="Q9" s="10"/>
      <c r="R9" s="10"/>
      <c r="S9" s="10"/>
      <c r="T9" s="10"/>
      <c r="U9" s="10"/>
      <c r="V9" s="10"/>
      <c r="W9" s="10"/>
      <c r="X9" s="10"/>
      <c r="Y9" s="10"/>
      <c r="Z9" s="10"/>
    </row>
    <row r="10" ht="12.0"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2.0" customHeight="1">
      <c r="A11" s="10"/>
      <c r="B11" s="82" t="s">
        <v>76</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2.0"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2.0" customHeight="1">
      <c r="A13" s="83" t="s">
        <v>77</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2.0"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2.0" customHeight="1">
      <c r="A15" s="84"/>
      <c r="B15" s="85" t="s">
        <v>78</v>
      </c>
      <c r="C15" s="86"/>
      <c r="D15" s="86"/>
      <c r="E15" s="86"/>
      <c r="F15" s="86"/>
      <c r="G15" s="86"/>
      <c r="H15" s="86"/>
      <c r="I15" s="86"/>
      <c r="J15" s="86"/>
      <c r="K15" s="86"/>
      <c r="L15" s="86"/>
      <c r="M15" s="86"/>
      <c r="N15" s="86"/>
      <c r="O15" s="86"/>
      <c r="P15" s="86"/>
      <c r="Q15" s="86"/>
      <c r="R15" s="86"/>
      <c r="S15" s="86"/>
      <c r="T15" s="86"/>
      <c r="U15" s="86"/>
      <c r="V15" s="86"/>
      <c r="W15" s="86"/>
      <c r="X15" s="86"/>
      <c r="Y15" s="86"/>
      <c r="Z15" s="86"/>
    </row>
    <row r="16" ht="12.0" customHeight="1">
      <c r="A16" s="84"/>
      <c r="B16" s="85" t="s">
        <v>79</v>
      </c>
      <c r="C16" s="87" t="s">
        <v>80</v>
      </c>
      <c r="D16" s="86"/>
      <c r="E16" s="86"/>
      <c r="F16" s="86"/>
      <c r="G16" s="86"/>
      <c r="H16" s="86"/>
      <c r="I16" s="86"/>
      <c r="J16" s="86"/>
      <c r="K16" s="86"/>
      <c r="L16" s="86"/>
      <c r="M16" s="86"/>
      <c r="N16" s="86"/>
      <c r="O16" s="86"/>
      <c r="P16" s="86"/>
      <c r="Q16" s="86"/>
      <c r="R16" s="86"/>
      <c r="S16" s="86"/>
      <c r="T16" s="86"/>
      <c r="U16" s="86"/>
      <c r="V16" s="86"/>
      <c r="W16" s="86"/>
      <c r="X16" s="86"/>
      <c r="Y16" s="86"/>
      <c r="Z16" s="86"/>
    </row>
    <row r="17" ht="12.0" customHeight="1">
      <c r="A17" s="88"/>
      <c r="B17" s="85" t="s">
        <v>81</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2.0" customHeight="1">
      <c r="A18" s="88"/>
      <c r="B18" s="85" t="s">
        <v>82</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0" customHeight="1">
      <c r="A19" s="88"/>
      <c r="B19" s="85" t="s">
        <v>83</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0" customHeight="1">
      <c r="A20" s="84"/>
      <c r="B20" s="85" t="s">
        <v>84</v>
      </c>
      <c r="C20" s="89" t="s">
        <v>85</v>
      </c>
      <c r="D20" s="86"/>
      <c r="E20" s="86"/>
      <c r="F20" s="86"/>
      <c r="G20" s="86"/>
      <c r="H20" s="86"/>
      <c r="I20" s="86"/>
      <c r="J20" s="86"/>
      <c r="K20" s="86"/>
      <c r="L20" s="86"/>
      <c r="M20" s="86"/>
      <c r="N20" s="86"/>
      <c r="O20" s="86"/>
      <c r="P20" s="86"/>
      <c r="Q20" s="86"/>
      <c r="R20" s="86"/>
      <c r="S20" s="86"/>
      <c r="T20" s="86"/>
      <c r="U20" s="86"/>
      <c r="V20" s="86"/>
      <c r="W20" s="86"/>
      <c r="X20" s="86"/>
      <c r="Y20" s="86"/>
      <c r="Z20" s="86"/>
    </row>
    <row r="21" ht="12.0" customHeight="1">
      <c r="A21" s="88"/>
      <c r="B21" s="85" t="s">
        <v>86</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0" customHeight="1">
      <c r="A22" s="88"/>
      <c r="B22" s="90" t="s">
        <v>87</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0" customHeight="1">
      <c r="A23" s="88"/>
      <c r="B23" s="71"/>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0" customHeight="1">
      <c r="A24" s="83" t="s">
        <v>88</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0" customHeight="1">
      <c r="A25" s="88"/>
      <c r="B25" s="85" t="s">
        <v>89</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0" customHeight="1">
      <c r="A26" s="88"/>
      <c r="B26" s="85"/>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0" customHeight="1">
      <c r="A27" s="88"/>
      <c r="B27" s="91" t="s">
        <v>90</v>
      </c>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0" customHeight="1">
      <c r="A28" s="88"/>
      <c r="B28" s="85" t="s">
        <v>91</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0" customHeight="1">
      <c r="A29" s="88"/>
      <c r="B29" s="85" t="s">
        <v>92</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0" customHeight="1">
      <c r="A30" s="88"/>
      <c r="B30" s="85"/>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0" customHeight="1">
      <c r="A31" s="88"/>
      <c r="B31" s="91" t="s">
        <v>93</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0" customHeight="1">
      <c r="A32" s="88"/>
      <c r="B32" s="85" t="s">
        <v>94</v>
      </c>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0" customHeight="1">
      <c r="A33" s="88"/>
      <c r="B33" s="85" t="s">
        <v>95</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0" customHeight="1">
      <c r="A34" s="88"/>
      <c r="B34" s="71"/>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0" customHeight="1">
      <c r="A35" s="88"/>
      <c r="B35" s="85" t="s">
        <v>96</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0" customHeight="1">
      <c r="A36" s="88"/>
      <c r="B36" s="92" t="s">
        <v>97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0" customHeight="1">
      <c r="A37" s="88"/>
      <c r="B37" s="71"/>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0" customHeight="1">
      <c r="A38" s="83" t="s">
        <v>98</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0" customHeight="1">
      <c r="A39" s="10"/>
      <c r="B39" s="85" t="s">
        <v>99</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0" customHeight="1">
      <c r="A41" s="10"/>
      <c r="B41" s="85" t="s">
        <v>100</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0" customHeight="1">
      <c r="A43" s="10"/>
      <c r="B43" s="85" t="s">
        <v>101</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0" customHeight="1">
      <c r="A45" s="10"/>
      <c r="B45" s="85" t="s">
        <v>102</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0" customHeight="1">
      <c r="A46" s="10"/>
      <c r="B46" s="93"/>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0" customHeight="1">
      <c r="A47" s="10"/>
      <c r="B47" s="85" t="s">
        <v>103</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0" customHeight="1">
      <c r="A49" s="83" t="s">
        <v>104</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0" customHeight="1">
      <c r="A50" s="10"/>
      <c r="B50" s="85" t="s">
        <v>105</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0" customHeight="1">
      <c r="A52" s="94" t="s">
        <v>106</v>
      </c>
      <c r="B52" s="85" t="s">
        <v>107</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0" customHeight="1">
      <c r="A53" s="94" t="s">
        <v>108</v>
      </c>
      <c r="B53" s="85" t="s">
        <v>109</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0" customHeight="1">
      <c r="A54" s="94" t="s">
        <v>110</v>
      </c>
      <c r="B54" s="85" t="s">
        <v>111</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0" customHeight="1">
      <c r="A55" s="82"/>
      <c r="B55" s="85" t="s">
        <v>112</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0" customHeight="1">
      <c r="A56" s="82"/>
      <c r="B56" s="85" t="s">
        <v>113</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0" customHeight="1">
      <c r="A57" s="94" t="s">
        <v>114</v>
      </c>
      <c r="B57" s="85" t="s">
        <v>115</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0" customHeight="1">
      <c r="A58" s="82"/>
      <c r="B58" s="85" t="s">
        <v>116</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0" customHeight="1">
      <c r="A59" s="82"/>
      <c r="B59" s="85" t="s">
        <v>117</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0" customHeight="1">
      <c r="A60" s="94" t="s">
        <v>118</v>
      </c>
      <c r="B60" s="85" t="s">
        <v>119</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0" customHeight="1">
      <c r="A61" s="82"/>
      <c r="B61" s="85" t="s">
        <v>120</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0" customHeight="1">
      <c r="A62" s="94" t="s">
        <v>121</v>
      </c>
      <c r="B62" s="85" t="s">
        <v>122</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0" customHeight="1">
      <c r="A63" s="95"/>
      <c r="B63" s="85" t="s">
        <v>123</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0" customHeight="1">
      <c r="A64" s="10"/>
      <c r="B64" s="96"/>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0" customHeight="1">
      <c r="A65" s="83" t="s">
        <v>124</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0" customHeight="1">
      <c r="A66" s="10"/>
      <c r="B66" s="85" t="s">
        <v>125</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0"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0" customHeight="1">
      <c r="A68" s="83" t="s">
        <v>126</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0" customHeight="1">
      <c r="A69" s="97" t="s">
        <v>127</v>
      </c>
      <c r="B69" s="98" t="s">
        <v>128</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0" customHeight="1">
      <c r="A70" s="95"/>
      <c r="B70" s="99" t="s">
        <v>129</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0" customHeight="1">
      <c r="A71" s="95"/>
      <c r="B71" s="10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0" customHeight="1">
      <c r="A72" s="97" t="s">
        <v>127</v>
      </c>
      <c r="B72" s="98" t="s">
        <v>130</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0" customHeight="1">
      <c r="A73" s="95"/>
      <c r="B73" s="99" t="s">
        <v>131</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0" customHeight="1">
      <c r="A74" s="95"/>
      <c r="B74" s="10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0" customHeight="1">
      <c r="A75" s="97" t="s">
        <v>127</v>
      </c>
      <c r="B75" s="101" t="s">
        <v>132</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0" customHeight="1">
      <c r="A76" s="95"/>
      <c r="B76" s="81" t="s">
        <v>133</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0" customHeight="1">
      <c r="A77" s="95"/>
      <c r="B77" s="95"/>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0" customHeight="1">
      <c r="A78" s="97" t="s">
        <v>127</v>
      </c>
      <c r="B78" s="101" t="s">
        <v>134</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0" customHeight="1">
      <c r="A79" s="95"/>
      <c r="B79" s="81" t="s">
        <v>135</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0" customHeight="1">
      <c r="A80" s="95"/>
      <c r="B80" s="95"/>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0" customHeight="1">
      <c r="A81" s="97" t="s">
        <v>127</v>
      </c>
      <c r="B81" s="101" t="s">
        <v>136</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0" customHeight="1">
      <c r="A82" s="95"/>
      <c r="B82" s="102" t="s">
        <v>137</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0" customHeight="1">
      <c r="A83" s="95"/>
      <c r="B83" s="102" t="s">
        <v>138</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0" customHeight="1">
      <c r="A84" s="95"/>
      <c r="B84" s="102" t="s">
        <v>139</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0" customHeight="1">
      <c r="A85" s="95"/>
      <c r="B85" s="103"/>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0" customHeight="1">
      <c r="A86" s="97" t="s">
        <v>127</v>
      </c>
      <c r="B86" s="101" t="s">
        <v>140</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0" customHeight="1">
      <c r="A87" s="95"/>
      <c r="B87" s="81" t="s">
        <v>141</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0" customHeight="1">
      <c r="A88" s="95"/>
      <c r="B88" s="81" t="s">
        <v>142</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0" customHeight="1">
      <c r="A89" s="95"/>
      <c r="B89" s="104" t="s">
        <v>143</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0" customHeight="1">
      <c r="A90" s="95"/>
      <c r="B90" s="95"/>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0" customHeight="1">
      <c r="A91" s="97" t="s">
        <v>127</v>
      </c>
      <c r="B91" s="101" t="s">
        <v>144</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0" customHeight="1">
      <c r="A92" s="82"/>
      <c r="B92" s="102" t="s">
        <v>145</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0"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0" customHeight="1">
      <c r="A94" s="105" t="s">
        <v>146</v>
      </c>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0"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0"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0"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0"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0"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0"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0"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0"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0"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0"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0"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0"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0"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0"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0"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0"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0"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0"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0"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0"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0"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0"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0"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0"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0"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0"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0"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0"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0"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0"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0"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0"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0"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0"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0"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0"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0"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0"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0"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0"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0"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0"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0"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0"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0"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0"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0"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0"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0"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0"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0"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0"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0"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0"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0"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0"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0"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0"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0"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0"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0"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0"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0"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0"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0"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0"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0"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0"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0"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0"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0"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0"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0"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0"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0"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0"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0"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0"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0"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0"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0"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0"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0"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0"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0"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0"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0"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0"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0"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0"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0"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0"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0"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0"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0"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0"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0"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0"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0"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0"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0"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0"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0"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0"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0"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0"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0"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0"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0"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0"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0"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0"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0"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0"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0"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0"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0"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0"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0"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0"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0"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0"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0"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0"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0"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0"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0"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0"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0"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0"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0"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0"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0"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0"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0"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0"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0"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0"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0"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0"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0"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0"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0"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0"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0"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0"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0"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0"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0"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0"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0"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0"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0"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0"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0"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0"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0"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0"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0"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0"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0"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0"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0"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0"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0"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0"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0"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0"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0"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0"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0"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0"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0"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0"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0"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0"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0"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0"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0"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0"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0"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0"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0"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0"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0"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0"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0"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0"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0"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0"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0"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0"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0"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0"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0"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0"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0"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0"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0"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0"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0"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0"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0"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0"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0"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0"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0"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0"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0"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0"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0"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0"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0"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0"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0"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0"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0"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0"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0"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0"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0"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0"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0"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0"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0"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0"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0"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0"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0"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0"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0"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0"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0"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0"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0"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0"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0"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0"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0"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0"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0"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0"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0"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0"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0"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0"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0"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0"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0"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0"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0"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0"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0"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0"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0"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0"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0"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0"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0"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0"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0"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0"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0"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0"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0"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0"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0"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0"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0"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0"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0"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0"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0"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0"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0"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0"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0"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0"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0"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0"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0"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0"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0"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0"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0"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0"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0"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0"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0"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0"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0"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0"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0"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0"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0"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0"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0"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0"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0"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0"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0"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0"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0"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0"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0"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0"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0"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0"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0"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0"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0"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0"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0"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0"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0"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0"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0"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0"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0"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0"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0"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0"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0"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0"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0"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0"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0"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0"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0"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0"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0"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0"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0"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0"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0"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0"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0"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0"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0"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0"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0"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0"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0"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0"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0"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0"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0"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0"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0"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0"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0"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0"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0"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0"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0"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0"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0"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0"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0"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0"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0"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0"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0"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0"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0"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0"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0"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0"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0"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0"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0"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0"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0"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0"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0"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0"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0"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0"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0"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0"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0"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0"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0"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0"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0"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0"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0"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0"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0"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0"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0"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0"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0"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0"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0"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0"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0"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0"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0"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0"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0"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0"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0"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0"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0"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0"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0"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0"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0"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0"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0"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0"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0"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0"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0"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0"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0"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0"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0"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0"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0"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0"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0"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0"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0"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0"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0"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0"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0"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0"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0"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0"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0"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0"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0"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0"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0"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0"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0"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0"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0"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0"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0"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0"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0"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0"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0"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0"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0"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0"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0"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0"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0"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0"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0"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0"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0"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0"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0"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0"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0"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0"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0"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0"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0"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0"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0"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0"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0"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0"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0"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0"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0"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0"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0"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0"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0"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0"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0"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0"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0"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0"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0"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0"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0"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0"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0"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0"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0"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0"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0"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0"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0"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0"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0"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0"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0"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0"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0"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0"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0"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0"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0"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0"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0"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0"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0"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0"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0"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0"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0"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0"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0"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0"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0"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0"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0"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0"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0"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0"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0"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0"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0"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0"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0"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0"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0"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0"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0"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0"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0"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0"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0"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0"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0"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0"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0"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0"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0"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0"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0"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0"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0"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0"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0"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0"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0"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0"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0"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0"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0"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0"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0"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0"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0"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0"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0"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0"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0"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0"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0"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0"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0"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0"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0"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0"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0"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0"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0"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0"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0"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0"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0"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0"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0"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0"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0"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0"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0"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0"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0"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0"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0"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0"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0"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0"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0"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0"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0"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0"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0"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0"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0"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0"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0"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0"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0"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0"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0"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0"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0"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0"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0"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0"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0"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0"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0"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0"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0"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0"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0"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0"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0"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0"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0"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0"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0"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0"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0"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0"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0"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0"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0"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0"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0"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0"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0"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0"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0"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0"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0"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0"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0"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0"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0"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0"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0"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0"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0"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0"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0"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0"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0"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0"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0"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0"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0"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0"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0"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0"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0"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0"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0"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0"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0"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0"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0"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0"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0"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0"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0"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0"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0"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0"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0"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0"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0"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0"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0"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0"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0"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0"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0"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0"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0"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0"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0"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0"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0"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0"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0"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0"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0"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0"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0"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0"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0"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0"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0"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0"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0"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0"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0"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0"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0"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0"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0"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0"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0"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0"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0"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0"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0"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0"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0"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0"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0"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0"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0"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0"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0"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0"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0"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0"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0"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0"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0"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0"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0"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0"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0"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0"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0"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0"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0"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0"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0"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0"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0"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0"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0"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0"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0"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0"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0"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0"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0"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0"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0"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0"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0"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0"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0"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0"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0"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0"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0"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0"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0"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0"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0"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0"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0"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0"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0"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0"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0"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0"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0"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0"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0"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0"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0"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0"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0"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0"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0"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0"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0"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0"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0"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0"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0"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0"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0"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0"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0"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0"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0"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0"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0"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0"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0"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0"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0"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0"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0"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0"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0"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0"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0"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0"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0"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0"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0"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0"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0"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0"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0"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0"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0"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0"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0"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0"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0"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0"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0"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0"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0"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0"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0"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0"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0"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0"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0"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0"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0"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0"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0"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0"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0"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0"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0"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0"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0"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0"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0"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0"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0"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0"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0"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0"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0"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0"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0"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0"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0"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0"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0"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0"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0"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0"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0"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0"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0"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0"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0"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0"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0"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0"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0"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0"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0"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0"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0"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0"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0"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0"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0"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0"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0"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0"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0"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0"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0"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0"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0"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0"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0"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0"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0"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0"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0"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0"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0"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0"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0"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0"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0"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0"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0"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0"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0"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0"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0"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0"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0"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0"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0"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0"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0"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0"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0"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0"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0"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0"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0"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0"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0"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0"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0"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0"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0"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0"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0"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0"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A13:B13"/>
    <mergeCell ref="A24:B24"/>
    <mergeCell ref="A38:B38"/>
    <mergeCell ref="A49:B49"/>
    <mergeCell ref="A65:B65"/>
    <mergeCell ref="A68:B68"/>
  </mergeCells>
  <hyperlinks>
    <hyperlink r:id="rId2" ref="A2"/>
    <hyperlink r:id="rId3" ref="B9"/>
    <hyperlink r:id="rId4" ref="B36"/>
  </hyperlinks>
  <printOptions/>
  <pageMargins bottom="0.25" footer="0.0" header="0.0" left="0.5" right="0.5" top="0.25"/>
  <pageSetup orientation="portrait"/>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5"/>
    <col customWidth="1" min="2" max="2" width="82.13"/>
    <col customWidth="1" min="3" max="26" width="8.88"/>
  </cols>
  <sheetData>
    <row r="1" ht="30.0" customHeight="1">
      <c r="A1" s="76" t="s">
        <v>147</v>
      </c>
      <c r="B1" s="76"/>
    </row>
    <row r="2" ht="12.0" customHeight="1">
      <c r="A2" s="10"/>
      <c r="B2" s="106"/>
    </row>
    <row r="3" ht="12.0" customHeight="1">
      <c r="A3" s="107"/>
      <c r="B3" s="108" t="s">
        <v>148</v>
      </c>
      <c r="C3" s="107"/>
    </row>
    <row r="4" ht="12.0" customHeight="1">
      <c r="A4" s="109"/>
      <c r="B4" s="110" t="s">
        <v>43</v>
      </c>
      <c r="C4" s="109"/>
    </row>
    <row r="5" ht="12.0" customHeight="1">
      <c r="A5" s="109"/>
      <c r="B5" s="111"/>
      <c r="C5" s="109"/>
    </row>
    <row r="6" ht="12.0" customHeight="1">
      <c r="A6" s="109"/>
      <c r="B6" s="112" t="s">
        <v>146</v>
      </c>
      <c r="C6" s="109"/>
    </row>
    <row r="7" ht="12.0" customHeight="1">
      <c r="A7" s="109"/>
      <c r="B7" s="111"/>
      <c r="C7" s="109"/>
    </row>
    <row r="8" ht="12.0" customHeight="1">
      <c r="A8" s="109"/>
      <c r="B8" s="111" t="s">
        <v>149</v>
      </c>
      <c r="C8" s="109"/>
    </row>
    <row r="9" ht="12.0" customHeight="1">
      <c r="A9" s="109"/>
      <c r="B9" s="111"/>
      <c r="C9" s="109"/>
    </row>
    <row r="10" ht="12.0" customHeight="1">
      <c r="A10" s="109"/>
      <c r="B10" s="111" t="s">
        <v>150</v>
      </c>
      <c r="C10" s="109"/>
    </row>
    <row r="11" ht="12.0" customHeight="1">
      <c r="A11" s="109"/>
      <c r="B11" s="111"/>
      <c r="C11" s="109"/>
    </row>
    <row r="12" ht="12.0" customHeight="1">
      <c r="A12" s="109"/>
      <c r="B12" s="111" t="s">
        <v>151</v>
      </c>
      <c r="C12" s="109"/>
    </row>
    <row r="13" ht="12.0" customHeight="1">
      <c r="A13" s="109"/>
      <c r="B13" s="111"/>
      <c r="C13" s="109"/>
    </row>
    <row r="14" ht="12.0" customHeight="1">
      <c r="A14" s="109"/>
      <c r="B14" s="111" t="s">
        <v>152</v>
      </c>
      <c r="C14" s="109"/>
    </row>
    <row r="15" ht="12.0" customHeight="1">
      <c r="A15" s="109"/>
      <c r="B15" s="111"/>
      <c r="C15" s="109"/>
    </row>
    <row r="16" ht="12.0" customHeight="1">
      <c r="A16" s="109"/>
      <c r="B16" s="111" t="s">
        <v>153</v>
      </c>
      <c r="C16" s="109"/>
    </row>
    <row r="17" ht="12.0" customHeight="1">
      <c r="A17" s="109"/>
      <c r="B17" s="111"/>
      <c r="C17" s="109"/>
    </row>
    <row r="18" ht="12.0" customHeight="1">
      <c r="A18" s="109"/>
      <c r="B18" s="112" t="s">
        <v>154</v>
      </c>
      <c r="C18" s="109"/>
    </row>
    <row r="19" ht="12.0" customHeight="1">
      <c r="A19" s="109"/>
      <c r="B19" s="113" t="s">
        <v>155</v>
      </c>
      <c r="C19" s="109"/>
    </row>
    <row r="20" ht="12.0" customHeight="1">
      <c r="A20" s="109"/>
      <c r="B20" s="114"/>
      <c r="C20" s="109"/>
    </row>
    <row r="21" ht="12.0" customHeight="1">
      <c r="A21" s="109"/>
      <c r="B21" s="109"/>
      <c r="C21" s="109"/>
    </row>
    <row r="22" ht="12.0" customHeight="1">
      <c r="A22" s="109"/>
      <c r="B22" s="109"/>
      <c r="C22" s="109"/>
    </row>
    <row r="23" ht="12.0" customHeight="1">
      <c r="A23" s="109"/>
      <c r="B23" s="109"/>
      <c r="C23" s="109"/>
    </row>
    <row r="24" ht="12.0" customHeight="1">
      <c r="A24" s="109"/>
      <c r="B24" s="109"/>
      <c r="C24" s="109"/>
    </row>
    <row r="25" ht="12.0" customHeight="1">
      <c r="A25" s="109"/>
      <c r="B25" s="109"/>
      <c r="C25" s="109"/>
    </row>
    <row r="26" ht="12.0" customHeight="1">
      <c r="A26" s="109"/>
      <c r="B26" s="109"/>
      <c r="C26" s="109"/>
    </row>
    <row r="27" ht="12.0" customHeight="1">
      <c r="A27" s="109"/>
      <c r="B27" s="109"/>
      <c r="C27" s="109"/>
    </row>
    <row r="28" ht="12.0" customHeight="1">
      <c r="A28" s="109"/>
      <c r="B28" s="109"/>
      <c r="C28" s="109"/>
    </row>
    <row r="29" ht="12.0" customHeight="1">
      <c r="A29" s="109"/>
      <c r="B29" s="109"/>
      <c r="C29" s="109"/>
    </row>
    <row r="30" ht="12.0" customHeight="1">
      <c r="A30" s="10"/>
      <c r="B30" s="10"/>
    </row>
    <row r="31" ht="12.0" customHeight="1">
      <c r="A31" s="10"/>
      <c r="B31" s="10"/>
    </row>
    <row r="32" ht="12.0" customHeight="1">
      <c r="A32" s="10"/>
      <c r="B32" s="10"/>
    </row>
    <row r="33" ht="12.0" customHeight="1">
      <c r="A33" s="10"/>
      <c r="B33" s="10"/>
    </row>
    <row r="34" ht="12.0" customHeight="1">
      <c r="A34" s="10"/>
      <c r="B34" s="10"/>
    </row>
    <row r="35" ht="12.0" customHeight="1">
      <c r="A35" s="10"/>
      <c r="B35" s="10"/>
    </row>
    <row r="36" ht="12.0" customHeight="1">
      <c r="A36" s="10"/>
      <c r="B36" s="10"/>
    </row>
    <row r="37" ht="12.0" customHeight="1">
      <c r="A37" s="10"/>
      <c r="B37" s="10"/>
    </row>
    <row r="38" ht="12.0" customHeight="1">
      <c r="A38" s="10"/>
      <c r="B38" s="10"/>
    </row>
    <row r="39" ht="12.0" customHeight="1">
      <c r="A39" s="10"/>
      <c r="B39" s="10"/>
    </row>
    <row r="40" ht="12.0" customHeight="1">
      <c r="A40" s="10"/>
      <c r="B40" s="10"/>
    </row>
    <row r="41" ht="12.0" customHeight="1">
      <c r="A41" s="10"/>
      <c r="B41" s="10"/>
    </row>
    <row r="42" ht="12.0" customHeight="1">
      <c r="A42" s="10"/>
      <c r="B42" s="10"/>
    </row>
    <row r="43" ht="12.0" customHeight="1">
      <c r="A43" s="10"/>
      <c r="B43" s="10"/>
    </row>
    <row r="44" ht="12.0" customHeight="1">
      <c r="A44" s="10"/>
      <c r="B44" s="10"/>
    </row>
    <row r="45" ht="12.0" customHeight="1">
      <c r="A45" s="10"/>
      <c r="B45" s="10"/>
    </row>
    <row r="46" ht="12.0" customHeight="1">
      <c r="A46" s="10"/>
      <c r="B46" s="10"/>
    </row>
    <row r="47" ht="12.0" customHeight="1">
      <c r="A47" s="10"/>
      <c r="B47" s="10"/>
    </row>
    <row r="48" ht="12.0" customHeight="1">
      <c r="A48" s="10"/>
      <c r="B48" s="10"/>
    </row>
    <row r="49" ht="12.0" customHeight="1">
      <c r="A49" s="10"/>
      <c r="B49" s="10"/>
    </row>
    <row r="50" ht="12.0" customHeight="1">
      <c r="A50" s="10"/>
      <c r="B50" s="10"/>
    </row>
    <row r="51" ht="12.0" customHeight="1">
      <c r="A51" s="10"/>
      <c r="B51" s="10"/>
    </row>
    <row r="52" ht="12.0" customHeight="1">
      <c r="A52" s="10"/>
      <c r="B52" s="10"/>
    </row>
    <row r="53" ht="12.0" customHeight="1">
      <c r="A53" s="10"/>
      <c r="B53" s="10"/>
    </row>
    <row r="54" ht="12.0" customHeight="1">
      <c r="A54" s="10"/>
      <c r="B54" s="10"/>
    </row>
    <row r="55" ht="12.0" customHeight="1">
      <c r="A55" s="10"/>
      <c r="B55" s="10"/>
    </row>
    <row r="56" ht="12.0" customHeight="1">
      <c r="A56" s="10"/>
      <c r="B56" s="10"/>
    </row>
    <row r="57" ht="12.0" customHeight="1">
      <c r="A57" s="10"/>
      <c r="B57" s="10"/>
    </row>
    <row r="58" ht="12.0" customHeight="1">
      <c r="A58" s="10"/>
      <c r="B58" s="10"/>
    </row>
    <row r="59" ht="12.0" customHeight="1">
      <c r="A59" s="10"/>
      <c r="B59" s="10"/>
    </row>
    <row r="60" ht="12.0" customHeight="1">
      <c r="A60" s="10"/>
      <c r="B60" s="10"/>
    </row>
    <row r="61" ht="12.0" customHeight="1">
      <c r="A61" s="10"/>
      <c r="B61" s="10"/>
    </row>
    <row r="62" ht="12.0" customHeight="1">
      <c r="A62" s="10"/>
      <c r="B62" s="10"/>
    </row>
    <row r="63" ht="12.0" customHeight="1">
      <c r="A63" s="10"/>
      <c r="B63" s="10"/>
    </row>
    <row r="64" ht="12.0" customHeight="1">
      <c r="A64" s="10"/>
      <c r="B64" s="10"/>
    </row>
    <row r="65" ht="12.0" customHeight="1">
      <c r="A65" s="10"/>
      <c r="B65" s="10"/>
    </row>
    <row r="66" ht="12.0" customHeight="1">
      <c r="A66" s="10"/>
      <c r="B66" s="10"/>
    </row>
    <row r="67" ht="12.0" customHeight="1">
      <c r="A67" s="10"/>
      <c r="B67" s="10"/>
    </row>
    <row r="68" ht="12.0" customHeight="1">
      <c r="A68" s="10"/>
      <c r="B68" s="10"/>
    </row>
    <row r="69" ht="12.0" customHeight="1">
      <c r="A69" s="10"/>
      <c r="B69" s="10"/>
    </row>
    <row r="70" ht="12.0" customHeight="1">
      <c r="A70" s="10"/>
      <c r="B70" s="10"/>
    </row>
    <row r="71" ht="12.0" customHeight="1">
      <c r="A71" s="10"/>
      <c r="B71" s="10"/>
    </row>
    <row r="72" ht="12.0" customHeight="1">
      <c r="A72" s="10"/>
      <c r="B72" s="10"/>
    </row>
    <row r="73" ht="12.0" customHeight="1">
      <c r="A73" s="10"/>
      <c r="B73" s="10"/>
    </row>
    <row r="74" ht="12.0" customHeight="1">
      <c r="A74" s="10"/>
      <c r="B74" s="10"/>
    </row>
    <row r="75" ht="12.0" customHeight="1">
      <c r="A75" s="10"/>
      <c r="B75" s="10"/>
    </row>
    <row r="76" ht="12.0" customHeight="1">
      <c r="A76" s="10"/>
      <c r="B76" s="10"/>
    </row>
    <row r="77" ht="12.0" customHeight="1">
      <c r="A77" s="10"/>
      <c r="B77" s="10"/>
    </row>
    <row r="78" ht="12.0" customHeight="1">
      <c r="A78" s="10"/>
      <c r="B78" s="10"/>
    </row>
    <row r="79" ht="12.0" customHeight="1">
      <c r="A79" s="10"/>
      <c r="B79" s="10"/>
    </row>
    <row r="80" ht="12.0" customHeight="1">
      <c r="A80" s="10"/>
      <c r="B80" s="10"/>
    </row>
    <row r="81" ht="12.0" customHeight="1">
      <c r="A81" s="10"/>
      <c r="B81" s="10"/>
    </row>
    <row r="82" ht="12.0" customHeight="1">
      <c r="A82" s="10"/>
      <c r="B82" s="10"/>
    </row>
    <row r="83" ht="12.0" customHeight="1">
      <c r="A83" s="10"/>
      <c r="B83" s="10"/>
    </row>
    <row r="84" ht="12.0" customHeight="1">
      <c r="A84" s="10"/>
      <c r="B84" s="10"/>
    </row>
    <row r="85" ht="12.0" customHeight="1">
      <c r="A85" s="10"/>
      <c r="B85" s="10"/>
    </row>
    <row r="86" ht="12.0" customHeight="1">
      <c r="A86" s="10"/>
      <c r="B86" s="10"/>
    </row>
    <row r="87" ht="12.0" customHeight="1">
      <c r="A87" s="10"/>
      <c r="B87" s="10"/>
    </row>
    <row r="88" ht="12.0" customHeight="1">
      <c r="A88" s="10"/>
      <c r="B88" s="10"/>
    </row>
    <row r="89" ht="12.0" customHeight="1">
      <c r="A89" s="10"/>
      <c r="B89" s="10"/>
    </row>
    <row r="90" ht="12.0" customHeight="1">
      <c r="A90" s="10"/>
      <c r="B90" s="10"/>
    </row>
    <row r="91" ht="12.0" customHeight="1">
      <c r="A91" s="10"/>
      <c r="B91" s="10"/>
    </row>
    <row r="92" ht="12.0" customHeight="1">
      <c r="A92" s="10"/>
      <c r="B92" s="10"/>
    </row>
    <row r="93" ht="12.0" customHeight="1">
      <c r="A93" s="10"/>
      <c r="B93" s="10"/>
    </row>
    <row r="94" ht="12.0" customHeight="1">
      <c r="A94" s="10"/>
      <c r="B94" s="10"/>
    </row>
    <row r="95" ht="12.0" customHeight="1">
      <c r="A95" s="10"/>
      <c r="B95" s="10"/>
    </row>
    <row r="96" ht="12.0" customHeight="1">
      <c r="A96" s="10"/>
      <c r="B96" s="10"/>
    </row>
    <row r="97" ht="12.0" customHeight="1">
      <c r="A97" s="10"/>
      <c r="B97" s="10"/>
    </row>
    <row r="98" ht="12.0" customHeight="1">
      <c r="A98" s="10"/>
      <c r="B98" s="10"/>
    </row>
    <row r="99" ht="12.0" customHeight="1">
      <c r="A99" s="10"/>
      <c r="B99" s="10"/>
    </row>
    <row r="100" ht="12.0" customHeight="1">
      <c r="A100" s="10"/>
      <c r="B100" s="10"/>
    </row>
    <row r="101" ht="12.0" customHeight="1">
      <c r="A101" s="10"/>
      <c r="B101" s="10"/>
    </row>
    <row r="102" ht="12.0" customHeight="1">
      <c r="A102" s="10"/>
      <c r="B102" s="10"/>
    </row>
    <row r="103" ht="12.0" customHeight="1">
      <c r="A103" s="10"/>
      <c r="B103" s="10"/>
    </row>
    <row r="104" ht="12.0" customHeight="1">
      <c r="A104" s="10"/>
      <c r="B104" s="10"/>
    </row>
    <row r="105" ht="12.0" customHeight="1">
      <c r="A105" s="10"/>
      <c r="B105" s="10"/>
    </row>
    <row r="106" ht="12.0" customHeight="1">
      <c r="A106" s="10"/>
      <c r="B106" s="10"/>
    </row>
    <row r="107" ht="12.0" customHeight="1">
      <c r="A107" s="10"/>
      <c r="B107" s="10"/>
    </row>
    <row r="108" ht="12.0" customHeight="1">
      <c r="A108" s="10"/>
      <c r="B108" s="10"/>
    </row>
    <row r="109" ht="12.0" customHeight="1">
      <c r="A109" s="10"/>
      <c r="B109" s="10"/>
    </row>
    <row r="110" ht="12.0" customHeight="1">
      <c r="A110" s="10"/>
      <c r="B110" s="10"/>
    </row>
    <row r="111" ht="12.0" customHeight="1">
      <c r="A111" s="10"/>
      <c r="B111" s="10"/>
    </row>
    <row r="112" ht="12.0" customHeight="1">
      <c r="A112" s="10"/>
      <c r="B112" s="10"/>
    </row>
    <row r="113" ht="12.0" customHeight="1">
      <c r="A113" s="10"/>
      <c r="B113" s="10"/>
    </row>
    <row r="114" ht="12.0" customHeight="1">
      <c r="A114" s="10"/>
      <c r="B114" s="10"/>
    </row>
    <row r="115" ht="12.0" customHeight="1">
      <c r="A115" s="10"/>
      <c r="B115" s="10"/>
    </row>
    <row r="116" ht="12.0" customHeight="1">
      <c r="A116" s="10"/>
      <c r="B116" s="10"/>
    </row>
    <row r="117" ht="12.0" customHeight="1">
      <c r="A117" s="10"/>
      <c r="B117" s="10"/>
    </row>
    <row r="118" ht="12.0" customHeight="1">
      <c r="A118" s="10"/>
      <c r="B118" s="10"/>
    </row>
    <row r="119" ht="12.0" customHeight="1">
      <c r="A119" s="10"/>
      <c r="B119" s="10"/>
    </row>
    <row r="120" ht="12.0" customHeight="1">
      <c r="A120" s="10"/>
      <c r="B120" s="10"/>
    </row>
    <row r="121" ht="12.0" customHeight="1">
      <c r="A121" s="10"/>
      <c r="B121" s="10"/>
    </row>
    <row r="122" ht="12.0" customHeight="1">
      <c r="A122" s="10"/>
      <c r="B122" s="10"/>
    </row>
    <row r="123" ht="12.0" customHeight="1">
      <c r="A123" s="10"/>
      <c r="B123" s="10"/>
    </row>
    <row r="124" ht="12.0" customHeight="1">
      <c r="A124" s="10"/>
      <c r="B124" s="10"/>
    </row>
    <row r="125" ht="12.0" customHeight="1">
      <c r="A125" s="10"/>
      <c r="B125" s="10"/>
    </row>
    <row r="126" ht="12.0" customHeight="1">
      <c r="A126" s="10"/>
      <c r="B126" s="10"/>
    </row>
    <row r="127" ht="12.0" customHeight="1">
      <c r="A127" s="10"/>
      <c r="B127" s="10"/>
    </row>
    <row r="128" ht="12.0" customHeight="1">
      <c r="A128" s="10"/>
      <c r="B128" s="10"/>
    </row>
    <row r="129" ht="12.0" customHeight="1">
      <c r="A129" s="10"/>
      <c r="B129" s="10"/>
    </row>
    <row r="130" ht="12.0" customHeight="1">
      <c r="A130" s="10"/>
      <c r="B130" s="10"/>
    </row>
    <row r="131" ht="12.0" customHeight="1">
      <c r="A131" s="10"/>
      <c r="B131" s="10"/>
    </row>
    <row r="132" ht="12.0" customHeight="1">
      <c r="A132" s="10"/>
      <c r="B132" s="10"/>
    </row>
    <row r="133" ht="12.0" customHeight="1">
      <c r="A133" s="10"/>
      <c r="B133" s="10"/>
    </row>
    <row r="134" ht="12.0" customHeight="1">
      <c r="A134" s="10"/>
      <c r="B134" s="10"/>
    </row>
    <row r="135" ht="12.0" customHeight="1">
      <c r="A135" s="10"/>
      <c r="B135" s="10"/>
    </row>
    <row r="136" ht="12.0" customHeight="1">
      <c r="A136" s="10"/>
      <c r="B136" s="10"/>
    </row>
    <row r="137" ht="12.0" customHeight="1">
      <c r="A137" s="10"/>
      <c r="B137" s="10"/>
    </row>
    <row r="138" ht="12.0" customHeight="1">
      <c r="A138" s="10"/>
      <c r="B138" s="10"/>
    </row>
    <row r="139" ht="12.0" customHeight="1">
      <c r="A139" s="10"/>
      <c r="B139" s="10"/>
    </row>
    <row r="140" ht="12.0" customHeight="1">
      <c r="A140" s="10"/>
      <c r="B140" s="10"/>
    </row>
    <row r="141" ht="12.0" customHeight="1">
      <c r="A141" s="10"/>
      <c r="B141" s="10"/>
    </row>
    <row r="142" ht="12.0" customHeight="1">
      <c r="A142" s="10"/>
      <c r="B142" s="10"/>
    </row>
    <row r="143" ht="12.0" customHeight="1">
      <c r="A143" s="10"/>
      <c r="B143" s="10"/>
    </row>
    <row r="144" ht="12.0" customHeight="1">
      <c r="A144" s="10"/>
      <c r="B144" s="10"/>
    </row>
    <row r="145" ht="12.0" customHeight="1">
      <c r="A145" s="10"/>
      <c r="B145" s="10"/>
    </row>
    <row r="146" ht="12.0" customHeight="1">
      <c r="A146" s="10"/>
      <c r="B146" s="10"/>
    </row>
    <row r="147" ht="12.0" customHeight="1">
      <c r="A147" s="10"/>
      <c r="B147" s="10"/>
    </row>
    <row r="148" ht="12.0" customHeight="1">
      <c r="A148" s="10"/>
      <c r="B148" s="10"/>
    </row>
    <row r="149" ht="12.0" customHeight="1">
      <c r="A149" s="10"/>
      <c r="B149" s="10"/>
    </row>
    <row r="150" ht="12.0" customHeight="1">
      <c r="A150" s="10"/>
      <c r="B150" s="10"/>
    </row>
    <row r="151" ht="12.0" customHeight="1">
      <c r="A151" s="10"/>
      <c r="B151" s="10"/>
    </row>
    <row r="152" ht="12.0" customHeight="1">
      <c r="A152" s="10"/>
      <c r="B152" s="10"/>
    </row>
    <row r="153" ht="12.0" customHeight="1">
      <c r="A153" s="10"/>
      <c r="B153" s="10"/>
    </row>
    <row r="154" ht="12.0" customHeight="1">
      <c r="A154" s="10"/>
      <c r="B154" s="10"/>
    </row>
    <row r="155" ht="12.0" customHeight="1">
      <c r="A155" s="10"/>
      <c r="B155" s="10"/>
    </row>
    <row r="156" ht="12.0" customHeight="1">
      <c r="A156" s="10"/>
      <c r="B156" s="10"/>
    </row>
    <row r="157" ht="12.0" customHeight="1">
      <c r="A157" s="10"/>
      <c r="B157" s="10"/>
    </row>
    <row r="158" ht="12.0" customHeight="1">
      <c r="A158" s="10"/>
      <c r="B158" s="10"/>
    </row>
    <row r="159" ht="12.0" customHeight="1">
      <c r="A159" s="10"/>
      <c r="B159" s="10"/>
    </row>
    <row r="160" ht="12.0" customHeight="1">
      <c r="A160" s="10"/>
      <c r="B160" s="10"/>
    </row>
    <row r="161" ht="12.0" customHeight="1">
      <c r="A161" s="10"/>
      <c r="B161" s="10"/>
    </row>
    <row r="162" ht="12.0" customHeight="1">
      <c r="A162" s="10"/>
      <c r="B162" s="10"/>
    </row>
    <row r="163" ht="12.0" customHeight="1">
      <c r="A163" s="10"/>
      <c r="B163" s="10"/>
    </row>
    <row r="164" ht="12.0" customHeight="1">
      <c r="A164" s="10"/>
      <c r="B164" s="10"/>
    </row>
    <row r="165" ht="12.0" customHeight="1">
      <c r="A165" s="10"/>
      <c r="B165" s="10"/>
    </row>
    <row r="166" ht="12.0" customHeight="1">
      <c r="A166" s="10"/>
      <c r="B166" s="10"/>
    </row>
    <row r="167" ht="12.0" customHeight="1">
      <c r="A167" s="10"/>
      <c r="B167" s="10"/>
    </row>
    <row r="168" ht="12.0" customHeight="1">
      <c r="A168" s="10"/>
      <c r="B168" s="10"/>
    </row>
    <row r="169" ht="12.0" customHeight="1">
      <c r="A169" s="10"/>
      <c r="B169" s="10"/>
    </row>
    <row r="170" ht="12.0" customHeight="1">
      <c r="A170" s="10"/>
      <c r="B170" s="10"/>
    </row>
    <row r="171" ht="12.0" customHeight="1">
      <c r="A171" s="10"/>
      <c r="B171" s="10"/>
    </row>
    <row r="172" ht="12.0" customHeight="1">
      <c r="A172" s="10"/>
      <c r="B172" s="10"/>
    </row>
    <row r="173" ht="12.0" customHeight="1">
      <c r="A173" s="10"/>
      <c r="B173" s="10"/>
    </row>
    <row r="174" ht="12.0" customHeight="1">
      <c r="A174" s="10"/>
      <c r="B174" s="10"/>
    </row>
    <row r="175" ht="12.0" customHeight="1">
      <c r="A175" s="10"/>
      <c r="B175" s="10"/>
    </row>
    <row r="176" ht="12.0" customHeight="1">
      <c r="A176" s="10"/>
      <c r="B176" s="10"/>
    </row>
    <row r="177" ht="12.0" customHeight="1">
      <c r="A177" s="10"/>
      <c r="B177" s="10"/>
    </row>
    <row r="178" ht="12.0" customHeight="1">
      <c r="A178" s="10"/>
      <c r="B178" s="10"/>
    </row>
    <row r="179" ht="12.0" customHeight="1">
      <c r="A179" s="10"/>
      <c r="B179" s="10"/>
    </row>
    <row r="180" ht="12.0" customHeight="1">
      <c r="A180" s="10"/>
      <c r="B180" s="10"/>
    </row>
    <row r="181" ht="12.0" customHeight="1">
      <c r="A181" s="10"/>
      <c r="B181" s="10"/>
    </row>
    <row r="182" ht="12.0" customHeight="1">
      <c r="A182" s="10"/>
      <c r="B182" s="10"/>
    </row>
    <row r="183" ht="12.0" customHeight="1">
      <c r="A183" s="10"/>
      <c r="B183" s="10"/>
    </row>
    <row r="184" ht="12.0" customHeight="1">
      <c r="A184" s="10"/>
      <c r="B184" s="10"/>
    </row>
    <row r="185" ht="12.0" customHeight="1">
      <c r="A185" s="10"/>
      <c r="B185" s="10"/>
    </row>
    <row r="186" ht="12.0" customHeight="1">
      <c r="A186" s="10"/>
      <c r="B186" s="10"/>
    </row>
    <row r="187" ht="12.0" customHeight="1">
      <c r="A187" s="10"/>
      <c r="B187" s="10"/>
    </row>
    <row r="188" ht="12.0" customHeight="1">
      <c r="A188" s="10"/>
      <c r="B188" s="10"/>
    </row>
    <row r="189" ht="12.0" customHeight="1">
      <c r="A189" s="10"/>
      <c r="B189" s="10"/>
    </row>
    <row r="190" ht="12.0" customHeight="1">
      <c r="A190" s="10"/>
      <c r="B190" s="10"/>
    </row>
    <row r="191" ht="12.0" customHeight="1">
      <c r="A191" s="10"/>
      <c r="B191" s="10"/>
    </row>
    <row r="192" ht="12.0" customHeight="1">
      <c r="A192" s="10"/>
      <c r="B192" s="10"/>
    </row>
    <row r="193" ht="12.0" customHeight="1">
      <c r="A193" s="10"/>
      <c r="B193" s="10"/>
    </row>
    <row r="194" ht="12.0" customHeight="1">
      <c r="A194" s="10"/>
      <c r="B194" s="10"/>
    </row>
    <row r="195" ht="12.0" customHeight="1">
      <c r="A195" s="10"/>
      <c r="B195" s="10"/>
    </row>
    <row r="196" ht="12.0" customHeight="1">
      <c r="A196" s="10"/>
      <c r="B196" s="10"/>
    </row>
    <row r="197" ht="12.0" customHeight="1">
      <c r="A197" s="10"/>
      <c r="B197" s="10"/>
    </row>
    <row r="198" ht="12.0" customHeight="1">
      <c r="A198" s="10"/>
      <c r="B198" s="10"/>
    </row>
    <row r="199" ht="12.0" customHeight="1">
      <c r="A199" s="10"/>
      <c r="B199" s="10"/>
    </row>
    <row r="200" ht="12.0" customHeight="1">
      <c r="A200" s="10"/>
      <c r="B200" s="10"/>
    </row>
    <row r="201" ht="12.0" customHeight="1">
      <c r="A201" s="10"/>
      <c r="B201" s="10"/>
    </row>
    <row r="202" ht="12.0" customHeight="1">
      <c r="A202" s="10"/>
      <c r="B202" s="10"/>
    </row>
    <row r="203" ht="12.0" customHeight="1">
      <c r="A203" s="10"/>
      <c r="B203" s="10"/>
    </row>
    <row r="204" ht="12.0" customHeight="1">
      <c r="A204" s="10"/>
      <c r="B204" s="10"/>
    </row>
    <row r="205" ht="12.0" customHeight="1">
      <c r="A205" s="10"/>
      <c r="B205" s="10"/>
    </row>
    <row r="206" ht="12.0" customHeight="1">
      <c r="A206" s="10"/>
      <c r="B206" s="10"/>
    </row>
    <row r="207" ht="12.0" customHeight="1">
      <c r="A207" s="10"/>
      <c r="B207" s="10"/>
    </row>
    <row r="208" ht="12.0" customHeight="1">
      <c r="A208" s="10"/>
      <c r="B208" s="10"/>
    </row>
    <row r="209" ht="12.0" customHeight="1">
      <c r="A209" s="10"/>
      <c r="B209" s="10"/>
    </row>
    <row r="210" ht="12.0" customHeight="1">
      <c r="A210" s="10"/>
      <c r="B210" s="10"/>
    </row>
    <row r="211" ht="12.0" customHeight="1">
      <c r="A211" s="10"/>
      <c r="B211" s="10"/>
    </row>
    <row r="212" ht="12.0" customHeight="1">
      <c r="A212" s="10"/>
      <c r="B212" s="10"/>
    </row>
    <row r="213" ht="12.0" customHeight="1">
      <c r="A213" s="10"/>
      <c r="B213" s="10"/>
    </row>
    <row r="214" ht="12.0" customHeight="1">
      <c r="A214" s="10"/>
      <c r="B214" s="10"/>
    </row>
    <row r="215" ht="12.0" customHeight="1">
      <c r="A215" s="10"/>
      <c r="B215" s="10"/>
    </row>
    <row r="216" ht="12.0" customHeight="1">
      <c r="A216" s="10"/>
      <c r="B216" s="10"/>
    </row>
    <row r="217" ht="12.0" customHeight="1">
      <c r="A217" s="10"/>
      <c r="B217" s="10"/>
    </row>
    <row r="218" ht="12.0" customHeight="1">
      <c r="A218" s="10"/>
      <c r="B218" s="10"/>
    </row>
    <row r="219" ht="12.0" customHeight="1">
      <c r="A219" s="10"/>
      <c r="B219" s="10"/>
    </row>
    <row r="220" ht="12.0" customHeight="1">
      <c r="A220" s="10"/>
      <c r="B220" s="10"/>
    </row>
    <row r="221" ht="12.0" customHeight="1">
      <c r="A221" s="10"/>
      <c r="B221" s="10"/>
    </row>
    <row r="222" ht="12.0" customHeight="1">
      <c r="A222" s="10"/>
      <c r="B222" s="10"/>
    </row>
    <row r="223" ht="12.0" customHeight="1">
      <c r="A223" s="10"/>
      <c r="B223" s="10"/>
    </row>
    <row r="224" ht="12.0" customHeight="1">
      <c r="A224" s="10"/>
      <c r="B224" s="10"/>
    </row>
    <row r="225" ht="12.0" customHeight="1">
      <c r="A225" s="10"/>
      <c r="B225" s="10"/>
    </row>
    <row r="226" ht="12.0" customHeight="1">
      <c r="A226" s="10"/>
      <c r="B226" s="10"/>
    </row>
    <row r="227" ht="12.0" customHeight="1">
      <c r="A227" s="10"/>
      <c r="B227" s="10"/>
    </row>
    <row r="228" ht="12.0" customHeight="1">
      <c r="A228" s="10"/>
      <c r="B228" s="10"/>
    </row>
    <row r="229" ht="12.0" customHeight="1">
      <c r="A229" s="10"/>
      <c r="B229" s="10"/>
    </row>
    <row r="230" ht="12.0" customHeight="1">
      <c r="A230" s="10"/>
      <c r="B230" s="10"/>
    </row>
    <row r="231" ht="12.0" customHeight="1">
      <c r="A231" s="10"/>
      <c r="B231" s="10"/>
    </row>
    <row r="232" ht="12.0" customHeight="1">
      <c r="A232" s="10"/>
      <c r="B232" s="10"/>
    </row>
    <row r="233" ht="12.0" customHeight="1">
      <c r="A233" s="10"/>
      <c r="B233" s="10"/>
    </row>
    <row r="234" ht="12.0" customHeight="1">
      <c r="A234" s="10"/>
      <c r="B234" s="10"/>
    </row>
    <row r="235" ht="12.0" customHeight="1">
      <c r="A235" s="10"/>
      <c r="B235" s="10"/>
    </row>
    <row r="236" ht="12.0" customHeight="1">
      <c r="A236" s="10"/>
      <c r="B236" s="10"/>
    </row>
    <row r="237" ht="12.0" customHeight="1">
      <c r="A237" s="10"/>
      <c r="B237" s="10"/>
    </row>
    <row r="238" ht="12.0" customHeight="1">
      <c r="A238" s="10"/>
      <c r="B238" s="10"/>
    </row>
    <row r="239" ht="12.0" customHeight="1">
      <c r="A239" s="10"/>
      <c r="B239" s="10"/>
    </row>
    <row r="240" ht="12.0" customHeight="1">
      <c r="A240" s="10"/>
      <c r="B240" s="10"/>
    </row>
    <row r="241" ht="12.0" customHeight="1">
      <c r="A241" s="10"/>
      <c r="B241" s="10"/>
    </row>
    <row r="242" ht="12.0" customHeight="1">
      <c r="A242" s="10"/>
      <c r="B242" s="10"/>
    </row>
    <row r="243" ht="12.0" customHeight="1">
      <c r="A243" s="10"/>
      <c r="B243" s="10"/>
    </row>
    <row r="244" ht="12.0" customHeight="1">
      <c r="A244" s="10"/>
      <c r="B244" s="10"/>
    </row>
    <row r="245" ht="12.0" customHeight="1">
      <c r="A245" s="10"/>
      <c r="B245" s="10"/>
    </row>
    <row r="246" ht="12.0" customHeight="1">
      <c r="A246" s="10"/>
      <c r="B246" s="10"/>
    </row>
    <row r="247" ht="12.0" customHeight="1">
      <c r="A247" s="10"/>
      <c r="B247" s="10"/>
    </row>
    <row r="248" ht="12.0" customHeight="1">
      <c r="A248" s="10"/>
      <c r="B248" s="10"/>
    </row>
    <row r="249" ht="12.0" customHeight="1">
      <c r="A249" s="10"/>
      <c r="B249" s="10"/>
    </row>
    <row r="250" ht="12.0" customHeight="1">
      <c r="A250" s="10"/>
      <c r="B250" s="10"/>
    </row>
    <row r="251" ht="12.0" customHeight="1">
      <c r="A251" s="10"/>
      <c r="B251" s="10"/>
    </row>
    <row r="252" ht="12.0" customHeight="1">
      <c r="A252" s="10"/>
      <c r="B252" s="10"/>
    </row>
    <row r="253" ht="12.0" customHeight="1">
      <c r="A253" s="10"/>
      <c r="B253" s="10"/>
    </row>
    <row r="254" ht="12.0" customHeight="1">
      <c r="A254" s="10"/>
      <c r="B254" s="10"/>
    </row>
    <row r="255" ht="12.0" customHeight="1">
      <c r="A255" s="10"/>
      <c r="B255" s="10"/>
    </row>
    <row r="256" ht="12.0" customHeight="1">
      <c r="A256" s="10"/>
      <c r="B256" s="10"/>
    </row>
    <row r="257" ht="12.0" customHeight="1">
      <c r="A257" s="10"/>
      <c r="B257" s="10"/>
    </row>
    <row r="258" ht="12.0" customHeight="1">
      <c r="A258" s="10"/>
      <c r="B258" s="10"/>
    </row>
    <row r="259" ht="12.0" customHeight="1">
      <c r="A259" s="10"/>
      <c r="B259" s="10"/>
    </row>
    <row r="260" ht="12.0" customHeight="1">
      <c r="A260" s="10"/>
      <c r="B260" s="10"/>
    </row>
    <row r="261" ht="12.0" customHeight="1">
      <c r="A261" s="10"/>
      <c r="B261" s="10"/>
    </row>
    <row r="262" ht="12.0" customHeight="1">
      <c r="A262" s="10"/>
      <c r="B262" s="10"/>
    </row>
    <row r="263" ht="12.0" customHeight="1">
      <c r="A263" s="10"/>
      <c r="B263" s="10"/>
    </row>
    <row r="264" ht="12.0" customHeight="1">
      <c r="A264" s="10"/>
      <c r="B264" s="10"/>
    </row>
    <row r="265" ht="12.0" customHeight="1">
      <c r="A265" s="10"/>
      <c r="B265" s="10"/>
    </row>
    <row r="266" ht="12.0" customHeight="1">
      <c r="A266" s="10"/>
      <c r="B266" s="10"/>
    </row>
    <row r="267" ht="12.0" customHeight="1">
      <c r="A267" s="10"/>
      <c r="B267" s="10"/>
    </row>
    <row r="268" ht="12.0" customHeight="1">
      <c r="A268" s="10"/>
      <c r="B268" s="10"/>
    </row>
    <row r="269" ht="12.0" customHeight="1">
      <c r="A269" s="10"/>
      <c r="B269" s="10"/>
    </row>
    <row r="270" ht="12.0" customHeight="1">
      <c r="A270" s="10"/>
      <c r="B270" s="10"/>
    </row>
    <row r="271" ht="12.0" customHeight="1">
      <c r="A271" s="10"/>
      <c r="B271" s="10"/>
    </row>
    <row r="272" ht="12.0" customHeight="1">
      <c r="A272" s="10"/>
      <c r="B272" s="10"/>
    </row>
    <row r="273" ht="12.0" customHeight="1">
      <c r="A273" s="10"/>
      <c r="B273" s="10"/>
    </row>
    <row r="274" ht="12.0" customHeight="1">
      <c r="A274" s="10"/>
      <c r="B274" s="10"/>
    </row>
    <row r="275" ht="12.0" customHeight="1">
      <c r="A275" s="10"/>
      <c r="B275" s="10"/>
    </row>
    <row r="276" ht="12.0" customHeight="1">
      <c r="A276" s="10"/>
      <c r="B276" s="10"/>
    </row>
    <row r="277" ht="12.0" customHeight="1">
      <c r="A277" s="10"/>
      <c r="B277" s="10"/>
    </row>
    <row r="278" ht="12.0" customHeight="1">
      <c r="A278" s="10"/>
      <c r="B278" s="10"/>
    </row>
    <row r="279" ht="12.0" customHeight="1">
      <c r="A279" s="10"/>
      <c r="B279" s="10"/>
    </row>
    <row r="280" ht="12.0" customHeight="1">
      <c r="A280" s="10"/>
      <c r="B280" s="10"/>
    </row>
    <row r="281" ht="12.0" customHeight="1">
      <c r="A281" s="10"/>
      <c r="B281" s="10"/>
    </row>
    <row r="282" ht="12.0" customHeight="1">
      <c r="A282" s="10"/>
      <c r="B282" s="10"/>
    </row>
    <row r="283" ht="12.0" customHeight="1">
      <c r="A283" s="10"/>
      <c r="B283" s="10"/>
    </row>
    <row r="284" ht="12.0" customHeight="1">
      <c r="A284" s="10"/>
      <c r="B284" s="10"/>
    </row>
    <row r="285" ht="12.0" customHeight="1">
      <c r="A285" s="10"/>
      <c r="B285" s="10"/>
    </row>
    <row r="286" ht="12.0" customHeight="1">
      <c r="A286" s="10"/>
      <c r="B286" s="10"/>
    </row>
    <row r="287" ht="12.0" customHeight="1">
      <c r="A287" s="10"/>
      <c r="B287" s="10"/>
    </row>
    <row r="288" ht="12.0" customHeight="1">
      <c r="A288" s="10"/>
      <c r="B288" s="10"/>
    </row>
    <row r="289" ht="12.0" customHeight="1">
      <c r="A289" s="10"/>
      <c r="B289" s="10"/>
    </row>
    <row r="290" ht="12.0" customHeight="1">
      <c r="A290" s="10"/>
      <c r="B290" s="10"/>
    </row>
    <row r="291" ht="12.0" customHeight="1">
      <c r="A291" s="10"/>
      <c r="B291" s="10"/>
    </row>
    <row r="292" ht="12.0" customHeight="1">
      <c r="A292" s="10"/>
      <c r="B292" s="10"/>
    </row>
    <row r="293" ht="12.0" customHeight="1">
      <c r="A293" s="10"/>
      <c r="B293" s="10"/>
    </row>
    <row r="294" ht="12.0" customHeight="1">
      <c r="A294" s="10"/>
      <c r="B294" s="10"/>
    </row>
    <row r="295" ht="12.0" customHeight="1">
      <c r="A295" s="10"/>
      <c r="B295" s="10"/>
    </row>
    <row r="296" ht="12.0" customHeight="1">
      <c r="A296" s="10"/>
      <c r="B296" s="10"/>
    </row>
    <row r="297" ht="12.0" customHeight="1">
      <c r="A297" s="10"/>
      <c r="B297" s="10"/>
    </row>
    <row r="298" ht="12.0" customHeight="1">
      <c r="A298" s="10"/>
      <c r="B298" s="10"/>
    </row>
    <row r="299" ht="12.0" customHeight="1">
      <c r="A299" s="10"/>
      <c r="B299" s="10"/>
    </row>
    <row r="300" ht="12.0" customHeight="1">
      <c r="A300" s="10"/>
      <c r="B300" s="10"/>
    </row>
    <row r="301" ht="12.0" customHeight="1">
      <c r="A301" s="10"/>
      <c r="B301" s="10"/>
    </row>
    <row r="302" ht="12.0" customHeight="1">
      <c r="A302" s="10"/>
      <c r="B302" s="10"/>
    </row>
    <row r="303" ht="12.0" customHeight="1">
      <c r="A303" s="10"/>
      <c r="B303" s="10"/>
    </row>
    <row r="304" ht="12.0" customHeight="1">
      <c r="A304" s="10"/>
      <c r="B304" s="10"/>
    </row>
    <row r="305" ht="12.0" customHeight="1">
      <c r="A305" s="10"/>
      <c r="B305" s="10"/>
    </row>
    <row r="306" ht="12.0" customHeight="1">
      <c r="A306" s="10"/>
      <c r="B306" s="10"/>
    </row>
    <row r="307" ht="12.0" customHeight="1">
      <c r="A307" s="10"/>
      <c r="B307" s="10"/>
    </row>
    <row r="308" ht="12.0" customHeight="1">
      <c r="A308" s="10"/>
      <c r="B308" s="10"/>
    </row>
    <row r="309" ht="12.0" customHeight="1">
      <c r="A309" s="10"/>
      <c r="B309" s="10"/>
    </row>
    <row r="310" ht="12.0" customHeight="1">
      <c r="A310" s="10"/>
      <c r="B310" s="10"/>
    </row>
    <row r="311" ht="12.0" customHeight="1">
      <c r="A311" s="10"/>
      <c r="B311" s="10"/>
    </row>
    <row r="312" ht="12.0" customHeight="1">
      <c r="A312" s="10"/>
      <c r="B312" s="10"/>
    </row>
    <row r="313" ht="12.0" customHeight="1">
      <c r="A313" s="10"/>
      <c r="B313" s="10"/>
    </row>
    <row r="314" ht="12.0" customHeight="1">
      <c r="A314" s="10"/>
      <c r="B314" s="10"/>
    </row>
    <row r="315" ht="12.0" customHeight="1">
      <c r="A315" s="10"/>
      <c r="B315" s="10"/>
    </row>
    <row r="316" ht="12.0" customHeight="1">
      <c r="A316" s="10"/>
      <c r="B316" s="10"/>
    </row>
    <row r="317" ht="12.0" customHeight="1">
      <c r="A317" s="10"/>
      <c r="B317" s="10"/>
    </row>
    <row r="318" ht="12.0" customHeight="1">
      <c r="A318" s="10"/>
      <c r="B318" s="10"/>
    </row>
    <row r="319" ht="12.0" customHeight="1">
      <c r="A319" s="10"/>
      <c r="B319" s="10"/>
    </row>
    <row r="320" ht="12.0" customHeight="1">
      <c r="A320" s="10"/>
      <c r="B320" s="10"/>
    </row>
    <row r="321" ht="12.0" customHeight="1">
      <c r="A321" s="10"/>
      <c r="B321" s="10"/>
    </row>
    <row r="322" ht="12.0" customHeight="1">
      <c r="A322" s="10"/>
      <c r="B322" s="10"/>
    </row>
    <row r="323" ht="12.0" customHeight="1">
      <c r="A323" s="10"/>
      <c r="B323" s="10"/>
    </row>
    <row r="324" ht="12.0" customHeight="1">
      <c r="A324" s="10"/>
      <c r="B324" s="10"/>
    </row>
    <row r="325" ht="12.0" customHeight="1">
      <c r="A325" s="10"/>
      <c r="B325" s="10"/>
    </row>
    <row r="326" ht="12.0" customHeight="1">
      <c r="A326" s="10"/>
      <c r="B326" s="10"/>
    </row>
    <row r="327" ht="12.0" customHeight="1">
      <c r="A327" s="10"/>
      <c r="B327" s="10"/>
    </row>
    <row r="328" ht="12.0" customHeight="1">
      <c r="A328" s="10"/>
      <c r="B328" s="10"/>
    </row>
    <row r="329" ht="12.0" customHeight="1">
      <c r="A329" s="10"/>
      <c r="B329" s="10"/>
    </row>
    <row r="330" ht="12.0" customHeight="1">
      <c r="A330" s="10"/>
      <c r="B330" s="10"/>
    </row>
    <row r="331" ht="12.0" customHeight="1">
      <c r="A331" s="10"/>
      <c r="B331" s="10"/>
    </row>
    <row r="332" ht="12.0" customHeight="1">
      <c r="A332" s="10"/>
      <c r="B332" s="10"/>
    </row>
    <row r="333" ht="12.0" customHeight="1">
      <c r="A333" s="10"/>
      <c r="B333" s="10"/>
    </row>
    <row r="334" ht="12.0" customHeight="1">
      <c r="A334" s="10"/>
      <c r="B334" s="10"/>
    </row>
    <row r="335" ht="12.0" customHeight="1">
      <c r="A335" s="10"/>
      <c r="B335" s="10"/>
    </row>
    <row r="336" ht="12.0" customHeight="1">
      <c r="A336" s="10"/>
      <c r="B336" s="10"/>
    </row>
    <row r="337" ht="12.0" customHeight="1">
      <c r="A337" s="10"/>
      <c r="B337" s="10"/>
    </row>
    <row r="338" ht="12.0" customHeight="1">
      <c r="A338" s="10"/>
      <c r="B338" s="10"/>
    </row>
    <row r="339" ht="12.0" customHeight="1">
      <c r="A339" s="10"/>
      <c r="B339" s="10"/>
    </row>
    <row r="340" ht="12.0" customHeight="1">
      <c r="A340" s="10"/>
      <c r="B340" s="10"/>
    </row>
    <row r="341" ht="12.0" customHeight="1">
      <c r="A341" s="10"/>
      <c r="B341" s="10"/>
    </row>
    <row r="342" ht="12.0" customHeight="1">
      <c r="A342" s="10"/>
      <c r="B342" s="10"/>
    </row>
    <row r="343" ht="12.0" customHeight="1">
      <c r="A343" s="10"/>
      <c r="B343" s="10"/>
    </row>
    <row r="344" ht="12.0" customHeight="1">
      <c r="A344" s="10"/>
      <c r="B344" s="10"/>
    </row>
    <row r="345" ht="12.0" customHeight="1">
      <c r="A345" s="10"/>
      <c r="B345" s="10"/>
    </row>
    <row r="346" ht="12.0" customHeight="1">
      <c r="A346" s="10"/>
      <c r="B346" s="10"/>
    </row>
    <row r="347" ht="12.0" customHeight="1">
      <c r="A347" s="10"/>
      <c r="B347" s="10"/>
    </row>
    <row r="348" ht="12.0" customHeight="1">
      <c r="A348" s="10"/>
      <c r="B348" s="10"/>
    </row>
    <row r="349" ht="12.0" customHeight="1">
      <c r="A349" s="10"/>
      <c r="B349" s="10"/>
    </row>
    <row r="350" ht="12.0" customHeight="1">
      <c r="A350" s="10"/>
      <c r="B350" s="10"/>
    </row>
    <row r="351" ht="12.0" customHeight="1">
      <c r="A351" s="10"/>
      <c r="B351" s="10"/>
    </row>
    <row r="352" ht="12.0" customHeight="1">
      <c r="A352" s="10"/>
      <c r="B352" s="10"/>
    </row>
    <row r="353" ht="12.0" customHeight="1">
      <c r="A353" s="10"/>
      <c r="B353" s="10"/>
    </row>
    <row r="354" ht="12.0" customHeight="1">
      <c r="A354" s="10"/>
      <c r="B354" s="10"/>
    </row>
    <row r="355" ht="12.0" customHeight="1">
      <c r="A355" s="10"/>
      <c r="B355" s="10"/>
    </row>
    <row r="356" ht="12.0" customHeight="1">
      <c r="A356" s="10"/>
      <c r="B356" s="10"/>
    </row>
    <row r="357" ht="12.0" customHeight="1">
      <c r="A357" s="10"/>
      <c r="B357" s="10"/>
    </row>
    <row r="358" ht="12.0" customHeight="1">
      <c r="A358" s="10"/>
      <c r="B358" s="10"/>
    </row>
    <row r="359" ht="12.0" customHeight="1">
      <c r="A359" s="10"/>
      <c r="B359" s="10"/>
    </row>
    <row r="360" ht="12.0" customHeight="1">
      <c r="A360" s="10"/>
      <c r="B360" s="10"/>
    </row>
    <row r="361" ht="12.0" customHeight="1">
      <c r="A361" s="10"/>
      <c r="B361" s="10"/>
    </row>
    <row r="362" ht="12.0" customHeight="1">
      <c r="A362" s="10"/>
      <c r="B362" s="10"/>
    </row>
    <row r="363" ht="12.0" customHeight="1">
      <c r="A363" s="10"/>
      <c r="B363" s="10"/>
    </row>
    <row r="364" ht="12.0" customHeight="1">
      <c r="A364" s="10"/>
      <c r="B364" s="10"/>
    </row>
    <row r="365" ht="12.0" customHeight="1">
      <c r="A365" s="10"/>
      <c r="B365" s="10"/>
    </row>
    <row r="366" ht="12.0" customHeight="1">
      <c r="A366" s="10"/>
      <c r="B366" s="10"/>
    </row>
    <row r="367" ht="12.0" customHeight="1">
      <c r="A367" s="10"/>
      <c r="B367" s="10"/>
    </row>
    <row r="368" ht="12.0" customHeight="1">
      <c r="A368" s="10"/>
      <c r="B368" s="10"/>
    </row>
    <row r="369" ht="12.0" customHeight="1">
      <c r="A369" s="10"/>
      <c r="B369" s="10"/>
    </row>
    <row r="370" ht="12.0" customHeight="1">
      <c r="A370" s="10"/>
      <c r="B370" s="10"/>
    </row>
    <row r="371" ht="12.0" customHeight="1">
      <c r="A371" s="10"/>
      <c r="B371" s="10"/>
    </row>
    <row r="372" ht="12.0" customHeight="1">
      <c r="A372" s="10"/>
      <c r="B372" s="10"/>
    </row>
    <row r="373" ht="12.0" customHeight="1">
      <c r="A373" s="10"/>
      <c r="B373" s="10"/>
    </row>
    <row r="374" ht="12.0" customHeight="1">
      <c r="A374" s="10"/>
      <c r="B374" s="10"/>
    </row>
    <row r="375" ht="12.0" customHeight="1">
      <c r="A375" s="10"/>
      <c r="B375" s="10"/>
    </row>
    <row r="376" ht="12.0" customHeight="1">
      <c r="A376" s="10"/>
      <c r="B376" s="10"/>
    </row>
    <row r="377" ht="12.0" customHeight="1">
      <c r="A377" s="10"/>
      <c r="B377" s="10"/>
    </row>
    <row r="378" ht="12.0" customHeight="1">
      <c r="A378" s="10"/>
      <c r="B378" s="10"/>
    </row>
    <row r="379" ht="12.0" customHeight="1">
      <c r="A379" s="10"/>
      <c r="B379" s="10"/>
    </row>
    <row r="380" ht="12.0" customHeight="1">
      <c r="A380" s="10"/>
      <c r="B380" s="10"/>
    </row>
    <row r="381" ht="12.0" customHeight="1">
      <c r="A381" s="10"/>
      <c r="B381" s="10"/>
    </row>
    <row r="382" ht="12.0" customHeight="1">
      <c r="A382" s="10"/>
      <c r="B382" s="10"/>
    </row>
    <row r="383" ht="12.0" customHeight="1">
      <c r="A383" s="10"/>
      <c r="B383" s="10"/>
    </row>
    <row r="384" ht="12.0" customHeight="1">
      <c r="A384" s="10"/>
      <c r="B384" s="10"/>
    </row>
    <row r="385" ht="12.0" customHeight="1">
      <c r="A385" s="10"/>
      <c r="B385" s="10"/>
    </row>
    <row r="386" ht="12.0" customHeight="1">
      <c r="A386" s="10"/>
      <c r="B386" s="10"/>
    </row>
    <row r="387" ht="12.0" customHeight="1">
      <c r="A387" s="10"/>
      <c r="B387" s="10"/>
    </row>
    <row r="388" ht="12.0" customHeight="1">
      <c r="A388" s="10"/>
      <c r="B388" s="10"/>
    </row>
    <row r="389" ht="12.0" customHeight="1">
      <c r="A389" s="10"/>
      <c r="B389" s="10"/>
    </row>
    <row r="390" ht="12.0" customHeight="1">
      <c r="A390" s="10"/>
      <c r="B390" s="10"/>
    </row>
    <row r="391" ht="12.0" customHeight="1">
      <c r="A391" s="10"/>
      <c r="B391" s="10"/>
    </row>
    <row r="392" ht="12.0" customHeight="1">
      <c r="A392" s="10"/>
      <c r="B392" s="10"/>
    </row>
    <row r="393" ht="12.0" customHeight="1">
      <c r="A393" s="10"/>
      <c r="B393" s="10"/>
    </row>
    <row r="394" ht="12.0" customHeight="1">
      <c r="A394" s="10"/>
      <c r="B394" s="10"/>
    </row>
    <row r="395" ht="12.0" customHeight="1">
      <c r="A395" s="10"/>
      <c r="B395" s="10"/>
    </row>
    <row r="396" ht="12.0" customHeight="1">
      <c r="A396" s="10"/>
      <c r="B396" s="10"/>
    </row>
    <row r="397" ht="12.0" customHeight="1">
      <c r="A397" s="10"/>
      <c r="B397" s="10"/>
    </row>
    <row r="398" ht="12.0" customHeight="1">
      <c r="A398" s="10"/>
      <c r="B398" s="10"/>
    </row>
    <row r="399" ht="12.0" customHeight="1">
      <c r="A399" s="10"/>
      <c r="B399" s="10"/>
    </row>
    <row r="400" ht="12.0" customHeight="1">
      <c r="A400" s="10"/>
      <c r="B400" s="10"/>
    </row>
    <row r="401" ht="12.0" customHeight="1">
      <c r="A401" s="10"/>
      <c r="B401" s="10"/>
    </row>
    <row r="402" ht="12.0" customHeight="1">
      <c r="A402" s="10"/>
      <c r="B402" s="10"/>
    </row>
    <row r="403" ht="12.0" customHeight="1">
      <c r="A403" s="10"/>
      <c r="B403" s="10"/>
    </row>
    <row r="404" ht="12.0" customHeight="1">
      <c r="A404" s="10"/>
      <c r="B404" s="10"/>
    </row>
    <row r="405" ht="12.0" customHeight="1">
      <c r="A405" s="10"/>
      <c r="B405" s="10"/>
    </row>
    <row r="406" ht="12.0" customHeight="1">
      <c r="A406" s="10"/>
      <c r="B406" s="10"/>
    </row>
    <row r="407" ht="12.0" customHeight="1">
      <c r="A407" s="10"/>
      <c r="B407" s="10"/>
    </row>
    <row r="408" ht="12.0" customHeight="1">
      <c r="A408" s="10"/>
      <c r="B408" s="10"/>
    </row>
    <row r="409" ht="12.0" customHeight="1">
      <c r="A409" s="10"/>
      <c r="B409" s="10"/>
    </row>
    <row r="410" ht="12.0" customHeight="1">
      <c r="A410" s="10"/>
      <c r="B410" s="10"/>
    </row>
    <row r="411" ht="12.0" customHeight="1">
      <c r="A411" s="10"/>
      <c r="B411" s="10"/>
    </row>
    <row r="412" ht="12.0" customHeight="1">
      <c r="A412" s="10"/>
      <c r="B412" s="10"/>
    </row>
    <row r="413" ht="12.0" customHeight="1">
      <c r="A413" s="10"/>
      <c r="B413" s="10"/>
    </row>
    <row r="414" ht="12.0" customHeight="1">
      <c r="A414" s="10"/>
      <c r="B414" s="10"/>
    </row>
    <row r="415" ht="12.0" customHeight="1">
      <c r="A415" s="10"/>
      <c r="B415" s="10"/>
    </row>
    <row r="416" ht="12.0" customHeight="1">
      <c r="A416" s="10"/>
      <c r="B416" s="10"/>
    </row>
    <row r="417" ht="12.0" customHeight="1">
      <c r="A417" s="10"/>
      <c r="B417" s="10"/>
    </row>
    <row r="418" ht="12.0" customHeight="1">
      <c r="A418" s="10"/>
      <c r="B418" s="10"/>
    </row>
    <row r="419" ht="12.0" customHeight="1">
      <c r="A419" s="10"/>
      <c r="B419" s="10"/>
    </row>
    <row r="420" ht="12.0" customHeight="1">
      <c r="A420" s="10"/>
      <c r="B420" s="10"/>
    </row>
    <row r="421" ht="12.0" customHeight="1">
      <c r="A421" s="10"/>
      <c r="B421" s="10"/>
    </row>
    <row r="422" ht="12.0" customHeight="1">
      <c r="A422" s="10"/>
      <c r="B422" s="10"/>
    </row>
    <row r="423" ht="12.0" customHeight="1">
      <c r="A423" s="10"/>
      <c r="B423" s="10"/>
    </row>
    <row r="424" ht="12.0" customHeight="1">
      <c r="A424" s="10"/>
      <c r="B424" s="10"/>
    </row>
    <row r="425" ht="12.0" customHeight="1">
      <c r="A425" s="10"/>
      <c r="B425" s="10"/>
    </row>
    <row r="426" ht="12.0" customHeight="1">
      <c r="A426" s="10"/>
      <c r="B426" s="10"/>
    </row>
    <row r="427" ht="12.0" customHeight="1">
      <c r="A427" s="10"/>
      <c r="B427" s="10"/>
    </row>
    <row r="428" ht="12.0" customHeight="1">
      <c r="A428" s="10"/>
      <c r="B428" s="10"/>
    </row>
    <row r="429" ht="12.0" customHeight="1">
      <c r="A429" s="10"/>
      <c r="B429" s="10"/>
    </row>
    <row r="430" ht="12.0" customHeight="1">
      <c r="A430" s="10"/>
      <c r="B430" s="10"/>
    </row>
    <row r="431" ht="12.0" customHeight="1">
      <c r="A431" s="10"/>
      <c r="B431" s="10"/>
    </row>
    <row r="432" ht="12.0" customHeight="1">
      <c r="A432" s="10"/>
      <c r="B432" s="10"/>
    </row>
    <row r="433" ht="12.0" customHeight="1">
      <c r="A433" s="10"/>
      <c r="B433" s="10"/>
    </row>
    <row r="434" ht="12.0" customHeight="1">
      <c r="A434" s="10"/>
      <c r="B434" s="10"/>
    </row>
    <row r="435" ht="12.0" customHeight="1">
      <c r="A435" s="10"/>
      <c r="B435" s="10"/>
    </row>
    <row r="436" ht="12.0" customHeight="1">
      <c r="A436" s="10"/>
      <c r="B436" s="10"/>
    </row>
    <row r="437" ht="12.0" customHeight="1">
      <c r="A437" s="10"/>
      <c r="B437" s="10"/>
    </row>
    <row r="438" ht="12.0" customHeight="1">
      <c r="A438" s="10"/>
      <c r="B438" s="10"/>
    </row>
    <row r="439" ht="12.0" customHeight="1">
      <c r="A439" s="10"/>
      <c r="B439" s="10"/>
    </row>
    <row r="440" ht="12.0" customHeight="1">
      <c r="A440" s="10"/>
      <c r="B440" s="10"/>
    </row>
    <row r="441" ht="12.0" customHeight="1">
      <c r="A441" s="10"/>
      <c r="B441" s="10"/>
    </row>
    <row r="442" ht="12.0" customHeight="1">
      <c r="A442" s="10"/>
      <c r="B442" s="10"/>
    </row>
    <row r="443" ht="12.0" customHeight="1">
      <c r="A443" s="10"/>
      <c r="B443" s="10"/>
    </row>
    <row r="444" ht="12.0" customHeight="1">
      <c r="A444" s="10"/>
      <c r="B444" s="10"/>
    </row>
    <row r="445" ht="12.0" customHeight="1">
      <c r="A445" s="10"/>
      <c r="B445" s="10"/>
    </row>
    <row r="446" ht="12.0" customHeight="1">
      <c r="A446" s="10"/>
      <c r="B446" s="10"/>
    </row>
    <row r="447" ht="12.0" customHeight="1">
      <c r="A447" s="10"/>
      <c r="B447" s="10"/>
    </row>
    <row r="448" ht="12.0" customHeight="1">
      <c r="A448" s="10"/>
      <c r="B448" s="10"/>
    </row>
    <row r="449" ht="12.0" customHeight="1">
      <c r="A449" s="10"/>
      <c r="B449" s="10"/>
    </row>
    <row r="450" ht="12.0" customHeight="1">
      <c r="A450" s="10"/>
      <c r="B450" s="10"/>
    </row>
    <row r="451" ht="12.0" customHeight="1">
      <c r="A451" s="10"/>
      <c r="B451" s="10"/>
    </row>
    <row r="452" ht="12.0" customHeight="1">
      <c r="A452" s="10"/>
      <c r="B452" s="10"/>
    </row>
    <row r="453" ht="12.0" customHeight="1">
      <c r="A453" s="10"/>
      <c r="B453" s="10"/>
    </row>
    <row r="454" ht="12.0" customHeight="1">
      <c r="A454" s="10"/>
      <c r="B454" s="10"/>
    </row>
    <row r="455" ht="12.0" customHeight="1">
      <c r="A455" s="10"/>
      <c r="B455" s="10"/>
    </row>
    <row r="456" ht="12.0" customHeight="1">
      <c r="A456" s="10"/>
      <c r="B456" s="10"/>
    </row>
    <row r="457" ht="12.0" customHeight="1">
      <c r="A457" s="10"/>
      <c r="B457" s="10"/>
    </row>
    <row r="458" ht="12.0" customHeight="1">
      <c r="A458" s="10"/>
      <c r="B458" s="10"/>
    </row>
    <row r="459" ht="12.0" customHeight="1">
      <c r="A459" s="10"/>
      <c r="B459" s="10"/>
    </row>
    <row r="460" ht="12.0" customHeight="1">
      <c r="A460" s="10"/>
      <c r="B460" s="10"/>
    </row>
    <row r="461" ht="12.0" customHeight="1">
      <c r="A461" s="10"/>
      <c r="B461" s="10"/>
    </row>
    <row r="462" ht="12.0" customHeight="1">
      <c r="A462" s="10"/>
      <c r="B462" s="10"/>
    </row>
    <row r="463" ht="12.0" customHeight="1">
      <c r="A463" s="10"/>
      <c r="B463" s="10"/>
    </row>
    <row r="464" ht="12.0" customHeight="1">
      <c r="A464" s="10"/>
      <c r="B464" s="10"/>
    </row>
    <row r="465" ht="12.0" customHeight="1">
      <c r="A465" s="10"/>
      <c r="B465" s="10"/>
    </row>
    <row r="466" ht="12.0" customHeight="1">
      <c r="A466" s="10"/>
      <c r="B466" s="10"/>
    </row>
    <row r="467" ht="12.0" customHeight="1">
      <c r="A467" s="10"/>
      <c r="B467" s="10"/>
    </row>
    <row r="468" ht="12.0" customHeight="1">
      <c r="A468" s="10"/>
      <c r="B468" s="10"/>
    </row>
    <row r="469" ht="12.0" customHeight="1">
      <c r="A469" s="10"/>
      <c r="B469" s="10"/>
    </row>
    <row r="470" ht="12.0" customHeight="1">
      <c r="A470" s="10"/>
      <c r="B470" s="10"/>
    </row>
    <row r="471" ht="12.0" customHeight="1">
      <c r="A471" s="10"/>
      <c r="B471" s="10"/>
    </row>
    <row r="472" ht="12.0" customHeight="1">
      <c r="A472" s="10"/>
      <c r="B472" s="10"/>
    </row>
    <row r="473" ht="12.0" customHeight="1">
      <c r="A473" s="10"/>
      <c r="B473" s="10"/>
    </row>
    <row r="474" ht="12.0" customHeight="1">
      <c r="A474" s="10"/>
      <c r="B474" s="10"/>
    </row>
    <row r="475" ht="12.0" customHeight="1">
      <c r="A475" s="10"/>
      <c r="B475" s="10"/>
    </row>
    <row r="476" ht="12.0" customHeight="1">
      <c r="A476" s="10"/>
      <c r="B476" s="10"/>
    </row>
    <row r="477" ht="12.0" customHeight="1">
      <c r="A477" s="10"/>
      <c r="B477" s="10"/>
    </row>
    <row r="478" ht="12.0" customHeight="1">
      <c r="A478" s="10"/>
      <c r="B478" s="10"/>
    </row>
    <row r="479" ht="12.0" customHeight="1">
      <c r="A479" s="10"/>
      <c r="B479" s="10"/>
    </row>
    <row r="480" ht="12.0" customHeight="1">
      <c r="A480" s="10"/>
      <c r="B480" s="10"/>
    </row>
    <row r="481" ht="12.0" customHeight="1">
      <c r="A481" s="10"/>
      <c r="B481" s="10"/>
    </row>
    <row r="482" ht="12.0" customHeight="1">
      <c r="A482" s="10"/>
      <c r="B482" s="10"/>
    </row>
    <row r="483" ht="12.0" customHeight="1">
      <c r="A483" s="10"/>
      <c r="B483" s="10"/>
    </row>
    <row r="484" ht="12.0" customHeight="1">
      <c r="A484" s="10"/>
      <c r="B484" s="10"/>
    </row>
    <row r="485" ht="12.0" customHeight="1">
      <c r="A485" s="10"/>
      <c r="B485" s="10"/>
    </row>
    <row r="486" ht="12.0" customHeight="1">
      <c r="A486" s="10"/>
      <c r="B486" s="10"/>
    </row>
    <row r="487" ht="12.0" customHeight="1">
      <c r="A487" s="10"/>
      <c r="B487" s="10"/>
    </row>
    <row r="488" ht="12.0" customHeight="1">
      <c r="A488" s="10"/>
      <c r="B488" s="10"/>
    </row>
    <row r="489" ht="12.0" customHeight="1">
      <c r="A489" s="10"/>
      <c r="B489" s="10"/>
    </row>
    <row r="490" ht="12.0" customHeight="1">
      <c r="A490" s="10"/>
      <c r="B490" s="10"/>
    </row>
    <row r="491" ht="12.0" customHeight="1">
      <c r="A491" s="10"/>
      <c r="B491" s="10"/>
    </row>
    <row r="492" ht="12.0" customHeight="1">
      <c r="A492" s="10"/>
      <c r="B492" s="10"/>
    </row>
    <row r="493" ht="12.0" customHeight="1">
      <c r="A493" s="10"/>
      <c r="B493" s="10"/>
    </row>
    <row r="494" ht="12.0" customHeight="1">
      <c r="A494" s="10"/>
      <c r="B494" s="10"/>
    </row>
    <row r="495" ht="12.0" customHeight="1">
      <c r="A495" s="10"/>
      <c r="B495" s="10"/>
    </row>
    <row r="496" ht="12.0" customHeight="1">
      <c r="A496" s="10"/>
      <c r="B496" s="10"/>
    </row>
    <row r="497" ht="12.0" customHeight="1">
      <c r="A497" s="10"/>
      <c r="B497" s="10"/>
    </row>
    <row r="498" ht="12.0" customHeight="1">
      <c r="A498" s="10"/>
      <c r="B498" s="10"/>
    </row>
    <row r="499" ht="12.0" customHeight="1">
      <c r="A499" s="10"/>
      <c r="B499" s="10"/>
    </row>
    <row r="500" ht="12.0" customHeight="1">
      <c r="A500" s="10"/>
      <c r="B500" s="10"/>
    </row>
    <row r="501" ht="12.0" customHeight="1">
      <c r="A501" s="10"/>
      <c r="B501" s="10"/>
    </row>
    <row r="502" ht="12.0" customHeight="1">
      <c r="A502" s="10"/>
      <c r="B502" s="10"/>
    </row>
    <row r="503" ht="12.0" customHeight="1">
      <c r="A503" s="10"/>
      <c r="B503" s="10"/>
    </row>
    <row r="504" ht="12.0" customHeight="1">
      <c r="A504" s="10"/>
      <c r="B504" s="10"/>
    </row>
    <row r="505" ht="12.0" customHeight="1">
      <c r="A505" s="10"/>
      <c r="B505" s="10"/>
    </row>
    <row r="506" ht="12.0" customHeight="1">
      <c r="A506" s="10"/>
      <c r="B506" s="10"/>
    </row>
    <row r="507" ht="12.0" customHeight="1">
      <c r="A507" s="10"/>
      <c r="B507" s="10"/>
    </row>
    <row r="508" ht="12.0" customHeight="1">
      <c r="A508" s="10"/>
      <c r="B508" s="10"/>
    </row>
    <row r="509" ht="12.0" customHeight="1">
      <c r="A509" s="10"/>
      <c r="B509" s="10"/>
    </row>
    <row r="510" ht="12.0" customHeight="1">
      <c r="A510" s="10"/>
      <c r="B510" s="10"/>
    </row>
    <row r="511" ht="12.0" customHeight="1">
      <c r="A511" s="10"/>
      <c r="B511" s="10"/>
    </row>
    <row r="512" ht="12.0" customHeight="1">
      <c r="A512" s="10"/>
      <c r="B512" s="10"/>
    </row>
    <row r="513" ht="12.0" customHeight="1">
      <c r="A513" s="10"/>
      <c r="B513" s="10"/>
    </row>
    <row r="514" ht="12.0" customHeight="1">
      <c r="A514" s="10"/>
      <c r="B514" s="10"/>
    </row>
    <row r="515" ht="12.0" customHeight="1">
      <c r="A515" s="10"/>
      <c r="B515" s="10"/>
    </row>
    <row r="516" ht="12.0" customHeight="1">
      <c r="A516" s="10"/>
      <c r="B516" s="10"/>
    </row>
    <row r="517" ht="12.0" customHeight="1">
      <c r="A517" s="10"/>
      <c r="B517" s="10"/>
    </row>
    <row r="518" ht="12.0" customHeight="1">
      <c r="A518" s="10"/>
      <c r="B518" s="10"/>
    </row>
    <row r="519" ht="12.0" customHeight="1">
      <c r="A519" s="10"/>
      <c r="B519" s="10"/>
    </row>
    <row r="520" ht="12.0" customHeight="1">
      <c r="A520" s="10"/>
      <c r="B520" s="10"/>
    </row>
    <row r="521" ht="12.0" customHeight="1">
      <c r="A521" s="10"/>
      <c r="B521" s="10"/>
    </row>
    <row r="522" ht="12.0" customHeight="1">
      <c r="A522" s="10"/>
      <c r="B522" s="10"/>
    </row>
    <row r="523" ht="12.0" customHeight="1">
      <c r="A523" s="10"/>
      <c r="B523" s="10"/>
    </row>
    <row r="524" ht="12.0" customHeight="1">
      <c r="A524" s="10"/>
      <c r="B524" s="10"/>
    </row>
    <row r="525" ht="12.0" customHeight="1">
      <c r="A525" s="10"/>
      <c r="B525" s="10"/>
    </row>
    <row r="526" ht="12.0" customHeight="1">
      <c r="A526" s="10"/>
      <c r="B526" s="10"/>
    </row>
    <row r="527" ht="12.0" customHeight="1">
      <c r="A527" s="10"/>
      <c r="B527" s="10"/>
    </row>
    <row r="528" ht="12.0" customHeight="1">
      <c r="A528" s="10"/>
      <c r="B528" s="10"/>
    </row>
    <row r="529" ht="12.0" customHeight="1">
      <c r="A529" s="10"/>
      <c r="B529" s="10"/>
    </row>
    <row r="530" ht="12.0" customHeight="1">
      <c r="A530" s="10"/>
      <c r="B530" s="10"/>
    </row>
    <row r="531" ht="12.0" customHeight="1">
      <c r="A531" s="10"/>
      <c r="B531" s="10"/>
    </row>
    <row r="532" ht="12.0" customHeight="1">
      <c r="A532" s="10"/>
      <c r="B532" s="10"/>
    </row>
    <row r="533" ht="12.0" customHeight="1">
      <c r="A533" s="10"/>
      <c r="B533" s="10"/>
    </row>
    <row r="534" ht="12.0" customHeight="1">
      <c r="A534" s="10"/>
      <c r="B534" s="10"/>
    </row>
    <row r="535" ht="12.0" customHeight="1">
      <c r="A535" s="10"/>
      <c r="B535" s="10"/>
    </row>
    <row r="536" ht="12.0" customHeight="1">
      <c r="A536" s="10"/>
      <c r="B536" s="10"/>
    </row>
    <row r="537" ht="12.0" customHeight="1">
      <c r="A537" s="10"/>
      <c r="B537" s="10"/>
    </row>
    <row r="538" ht="12.0" customHeight="1">
      <c r="A538" s="10"/>
      <c r="B538" s="10"/>
    </row>
    <row r="539" ht="12.0" customHeight="1">
      <c r="A539" s="10"/>
      <c r="B539" s="10"/>
    </row>
    <row r="540" ht="12.0" customHeight="1">
      <c r="A540" s="10"/>
      <c r="B540" s="10"/>
    </row>
    <row r="541" ht="12.0" customHeight="1">
      <c r="A541" s="10"/>
      <c r="B541" s="10"/>
    </row>
    <row r="542" ht="12.0" customHeight="1">
      <c r="A542" s="10"/>
      <c r="B542" s="10"/>
    </row>
    <row r="543" ht="12.0" customHeight="1">
      <c r="A543" s="10"/>
      <c r="B543" s="10"/>
    </row>
    <row r="544" ht="12.0" customHeight="1">
      <c r="A544" s="10"/>
      <c r="B544" s="10"/>
    </row>
    <row r="545" ht="12.0" customHeight="1">
      <c r="A545" s="10"/>
      <c r="B545" s="10"/>
    </row>
    <row r="546" ht="12.0" customHeight="1">
      <c r="A546" s="10"/>
      <c r="B546" s="10"/>
    </row>
    <row r="547" ht="12.0" customHeight="1">
      <c r="A547" s="10"/>
      <c r="B547" s="10"/>
    </row>
    <row r="548" ht="12.0" customHeight="1">
      <c r="A548" s="10"/>
      <c r="B548" s="10"/>
    </row>
    <row r="549" ht="12.0" customHeight="1">
      <c r="A549" s="10"/>
      <c r="B549" s="10"/>
    </row>
    <row r="550" ht="12.0" customHeight="1">
      <c r="A550" s="10"/>
      <c r="B550" s="10"/>
    </row>
    <row r="551" ht="12.0" customHeight="1">
      <c r="A551" s="10"/>
      <c r="B551" s="10"/>
    </row>
    <row r="552" ht="12.0" customHeight="1">
      <c r="A552" s="10"/>
      <c r="B552" s="10"/>
    </row>
    <row r="553" ht="12.0" customHeight="1">
      <c r="A553" s="10"/>
      <c r="B553" s="10"/>
    </row>
    <row r="554" ht="12.0" customHeight="1">
      <c r="A554" s="10"/>
      <c r="B554" s="10"/>
    </row>
    <row r="555" ht="12.0" customHeight="1">
      <c r="A555" s="10"/>
      <c r="B555" s="10"/>
    </row>
    <row r="556" ht="12.0" customHeight="1">
      <c r="A556" s="10"/>
      <c r="B556" s="10"/>
    </row>
    <row r="557" ht="12.0" customHeight="1">
      <c r="A557" s="10"/>
      <c r="B557" s="10"/>
    </row>
    <row r="558" ht="12.0" customHeight="1">
      <c r="A558" s="10"/>
      <c r="B558" s="10"/>
    </row>
    <row r="559" ht="12.0" customHeight="1">
      <c r="A559" s="10"/>
      <c r="B559" s="10"/>
    </row>
    <row r="560" ht="12.0" customHeight="1">
      <c r="A560" s="10"/>
      <c r="B560" s="10"/>
    </row>
    <row r="561" ht="12.0" customHeight="1">
      <c r="A561" s="10"/>
      <c r="B561" s="10"/>
    </row>
    <row r="562" ht="12.0" customHeight="1">
      <c r="A562" s="10"/>
      <c r="B562" s="10"/>
    </row>
    <row r="563" ht="12.0" customHeight="1">
      <c r="A563" s="10"/>
      <c r="B563" s="10"/>
    </row>
    <row r="564" ht="12.0" customHeight="1">
      <c r="A564" s="10"/>
      <c r="B564" s="10"/>
    </row>
    <row r="565" ht="12.0" customHeight="1">
      <c r="A565" s="10"/>
      <c r="B565" s="10"/>
    </row>
    <row r="566" ht="12.0" customHeight="1">
      <c r="A566" s="10"/>
      <c r="B566" s="10"/>
    </row>
    <row r="567" ht="12.0" customHeight="1">
      <c r="A567" s="10"/>
      <c r="B567" s="10"/>
    </row>
    <row r="568" ht="12.0" customHeight="1">
      <c r="A568" s="10"/>
      <c r="B568" s="10"/>
    </row>
    <row r="569" ht="12.0" customHeight="1">
      <c r="A569" s="10"/>
      <c r="B569" s="10"/>
    </row>
    <row r="570" ht="12.0" customHeight="1">
      <c r="A570" s="10"/>
      <c r="B570" s="10"/>
    </row>
    <row r="571" ht="12.0" customHeight="1">
      <c r="A571" s="10"/>
      <c r="B571" s="10"/>
    </row>
    <row r="572" ht="12.0" customHeight="1">
      <c r="A572" s="10"/>
      <c r="B572" s="10"/>
    </row>
    <row r="573" ht="12.0" customHeight="1">
      <c r="A573" s="10"/>
      <c r="B573" s="10"/>
    </row>
    <row r="574" ht="12.0" customHeight="1">
      <c r="A574" s="10"/>
      <c r="B574" s="10"/>
    </row>
    <row r="575" ht="12.0" customHeight="1">
      <c r="A575" s="10"/>
      <c r="B575" s="10"/>
    </row>
    <row r="576" ht="12.0" customHeight="1">
      <c r="A576" s="10"/>
      <c r="B576" s="10"/>
    </row>
    <row r="577" ht="12.0" customHeight="1">
      <c r="A577" s="10"/>
      <c r="B577" s="10"/>
    </row>
    <row r="578" ht="12.0" customHeight="1">
      <c r="A578" s="10"/>
      <c r="B578" s="10"/>
    </row>
    <row r="579" ht="12.0" customHeight="1">
      <c r="A579" s="10"/>
      <c r="B579" s="10"/>
    </row>
    <row r="580" ht="12.0" customHeight="1">
      <c r="A580" s="10"/>
      <c r="B580" s="10"/>
    </row>
    <row r="581" ht="12.0" customHeight="1">
      <c r="A581" s="10"/>
      <c r="B581" s="10"/>
    </row>
    <row r="582" ht="12.0" customHeight="1">
      <c r="A582" s="10"/>
      <c r="B582" s="10"/>
    </row>
    <row r="583" ht="12.0" customHeight="1">
      <c r="A583" s="10"/>
      <c r="B583" s="10"/>
    </row>
    <row r="584" ht="12.0" customHeight="1">
      <c r="A584" s="10"/>
      <c r="B584" s="10"/>
    </row>
    <row r="585" ht="12.0" customHeight="1">
      <c r="A585" s="10"/>
      <c r="B585" s="10"/>
    </row>
    <row r="586" ht="12.0" customHeight="1">
      <c r="A586" s="10"/>
      <c r="B586" s="10"/>
    </row>
    <row r="587" ht="12.0" customHeight="1">
      <c r="A587" s="10"/>
      <c r="B587" s="10"/>
    </row>
    <row r="588" ht="12.0" customHeight="1">
      <c r="A588" s="10"/>
      <c r="B588" s="10"/>
    </row>
    <row r="589" ht="12.0" customHeight="1">
      <c r="A589" s="10"/>
      <c r="B589" s="10"/>
    </row>
    <row r="590" ht="12.0" customHeight="1">
      <c r="A590" s="10"/>
      <c r="B590" s="10"/>
    </row>
    <row r="591" ht="12.0" customHeight="1">
      <c r="A591" s="10"/>
      <c r="B591" s="10"/>
    </row>
    <row r="592" ht="12.0" customHeight="1">
      <c r="A592" s="10"/>
      <c r="B592" s="10"/>
    </row>
    <row r="593" ht="12.0" customHeight="1">
      <c r="A593" s="10"/>
      <c r="B593" s="10"/>
    </row>
    <row r="594" ht="12.0" customHeight="1">
      <c r="A594" s="10"/>
      <c r="B594" s="10"/>
    </row>
    <row r="595" ht="12.0" customHeight="1">
      <c r="A595" s="10"/>
      <c r="B595" s="10"/>
    </row>
    <row r="596" ht="12.0" customHeight="1">
      <c r="A596" s="10"/>
      <c r="B596" s="10"/>
    </row>
    <row r="597" ht="12.0" customHeight="1">
      <c r="A597" s="10"/>
      <c r="B597" s="10"/>
    </row>
    <row r="598" ht="12.0" customHeight="1">
      <c r="A598" s="10"/>
      <c r="B598" s="10"/>
    </row>
    <row r="599" ht="12.0" customHeight="1">
      <c r="A599" s="10"/>
      <c r="B599" s="10"/>
    </row>
    <row r="600" ht="12.0" customHeight="1">
      <c r="A600" s="10"/>
      <c r="B600" s="10"/>
    </row>
    <row r="601" ht="12.0" customHeight="1">
      <c r="A601" s="10"/>
      <c r="B601" s="10"/>
    </row>
    <row r="602" ht="12.0" customHeight="1">
      <c r="A602" s="10"/>
      <c r="B602" s="10"/>
    </row>
    <row r="603" ht="12.0" customHeight="1">
      <c r="A603" s="10"/>
      <c r="B603" s="10"/>
    </row>
    <row r="604" ht="12.0" customHeight="1">
      <c r="A604" s="10"/>
      <c r="B604" s="10"/>
    </row>
    <row r="605" ht="12.0" customHeight="1">
      <c r="A605" s="10"/>
      <c r="B605" s="10"/>
    </row>
    <row r="606" ht="12.0" customHeight="1">
      <c r="A606" s="10"/>
      <c r="B606" s="10"/>
    </row>
    <row r="607" ht="12.0" customHeight="1">
      <c r="A607" s="10"/>
      <c r="B607" s="10"/>
    </row>
    <row r="608" ht="12.0" customHeight="1">
      <c r="A608" s="10"/>
      <c r="B608" s="10"/>
    </row>
    <row r="609" ht="12.0" customHeight="1">
      <c r="A609" s="10"/>
      <c r="B609" s="10"/>
    </row>
    <row r="610" ht="12.0" customHeight="1">
      <c r="A610" s="10"/>
      <c r="B610" s="10"/>
    </row>
    <row r="611" ht="12.0" customHeight="1">
      <c r="A611" s="10"/>
      <c r="B611" s="10"/>
    </row>
    <row r="612" ht="12.0" customHeight="1">
      <c r="A612" s="10"/>
      <c r="B612" s="10"/>
    </row>
    <row r="613" ht="12.0" customHeight="1">
      <c r="A613" s="10"/>
      <c r="B613" s="10"/>
    </row>
    <row r="614" ht="12.0" customHeight="1">
      <c r="A614" s="10"/>
      <c r="B614" s="10"/>
    </row>
    <row r="615" ht="12.0" customHeight="1">
      <c r="A615" s="10"/>
      <c r="B615" s="10"/>
    </row>
    <row r="616" ht="12.0" customHeight="1">
      <c r="A616" s="10"/>
      <c r="B616" s="10"/>
    </row>
    <row r="617" ht="12.0" customHeight="1">
      <c r="A617" s="10"/>
      <c r="B617" s="10"/>
    </row>
    <row r="618" ht="12.0" customHeight="1">
      <c r="A618" s="10"/>
      <c r="B618" s="10"/>
    </row>
    <row r="619" ht="12.0" customHeight="1">
      <c r="A619" s="10"/>
      <c r="B619" s="10"/>
    </row>
    <row r="620" ht="12.0" customHeight="1">
      <c r="A620" s="10"/>
      <c r="B620" s="10"/>
    </row>
    <row r="621" ht="12.0" customHeight="1">
      <c r="A621" s="10"/>
      <c r="B621" s="10"/>
    </row>
    <row r="622" ht="12.0" customHeight="1">
      <c r="A622" s="10"/>
      <c r="B622" s="10"/>
    </row>
    <row r="623" ht="12.0" customHeight="1">
      <c r="A623" s="10"/>
      <c r="B623" s="10"/>
    </row>
    <row r="624" ht="12.0" customHeight="1">
      <c r="A624" s="10"/>
      <c r="B624" s="10"/>
    </row>
    <row r="625" ht="12.0" customHeight="1">
      <c r="A625" s="10"/>
      <c r="B625" s="10"/>
    </row>
    <row r="626" ht="12.0" customHeight="1">
      <c r="A626" s="10"/>
      <c r="B626" s="10"/>
    </row>
    <row r="627" ht="12.0" customHeight="1">
      <c r="A627" s="10"/>
      <c r="B627" s="10"/>
    </row>
    <row r="628" ht="12.0" customHeight="1">
      <c r="A628" s="10"/>
      <c r="B628" s="10"/>
    </row>
    <row r="629" ht="12.0" customHeight="1">
      <c r="A629" s="10"/>
      <c r="B629" s="10"/>
    </row>
    <row r="630" ht="12.0" customHeight="1">
      <c r="A630" s="10"/>
      <c r="B630" s="10"/>
    </row>
    <row r="631" ht="12.0" customHeight="1">
      <c r="A631" s="10"/>
      <c r="B631" s="10"/>
    </row>
    <row r="632" ht="12.0" customHeight="1">
      <c r="A632" s="10"/>
      <c r="B632" s="10"/>
    </row>
    <row r="633" ht="12.0" customHeight="1">
      <c r="A633" s="10"/>
      <c r="B633" s="10"/>
    </row>
    <row r="634" ht="12.0" customHeight="1">
      <c r="A634" s="10"/>
      <c r="B634" s="10"/>
    </row>
    <row r="635" ht="12.0" customHeight="1">
      <c r="A635" s="10"/>
      <c r="B635" s="10"/>
    </row>
    <row r="636" ht="12.0" customHeight="1">
      <c r="A636" s="10"/>
      <c r="B636" s="10"/>
    </row>
    <row r="637" ht="12.0" customHeight="1">
      <c r="A637" s="10"/>
      <c r="B637" s="10"/>
    </row>
    <row r="638" ht="12.0" customHeight="1">
      <c r="A638" s="10"/>
      <c r="B638" s="10"/>
    </row>
    <row r="639" ht="12.0" customHeight="1">
      <c r="A639" s="10"/>
      <c r="B639" s="10"/>
    </row>
    <row r="640" ht="12.0" customHeight="1">
      <c r="A640" s="10"/>
      <c r="B640" s="10"/>
    </row>
    <row r="641" ht="12.0" customHeight="1">
      <c r="A641" s="10"/>
      <c r="B641" s="10"/>
    </row>
    <row r="642" ht="12.0" customHeight="1">
      <c r="A642" s="10"/>
      <c r="B642" s="10"/>
    </row>
    <row r="643" ht="12.0" customHeight="1">
      <c r="A643" s="10"/>
      <c r="B643" s="10"/>
    </row>
    <row r="644" ht="12.0" customHeight="1">
      <c r="A644" s="10"/>
      <c r="B644" s="10"/>
    </row>
    <row r="645" ht="12.0" customHeight="1">
      <c r="A645" s="10"/>
      <c r="B645" s="10"/>
    </row>
    <row r="646" ht="12.0" customHeight="1">
      <c r="A646" s="10"/>
      <c r="B646" s="10"/>
    </row>
    <row r="647" ht="12.0" customHeight="1">
      <c r="A647" s="10"/>
      <c r="B647" s="10"/>
    </row>
    <row r="648" ht="12.0" customHeight="1">
      <c r="A648" s="10"/>
      <c r="B648" s="10"/>
    </row>
    <row r="649" ht="12.0" customHeight="1">
      <c r="A649" s="10"/>
      <c r="B649" s="10"/>
    </row>
    <row r="650" ht="12.0" customHeight="1">
      <c r="A650" s="10"/>
      <c r="B650" s="10"/>
    </row>
    <row r="651" ht="12.0" customHeight="1">
      <c r="A651" s="10"/>
      <c r="B651" s="10"/>
    </row>
    <row r="652" ht="12.0" customHeight="1">
      <c r="A652" s="10"/>
      <c r="B652" s="10"/>
    </row>
    <row r="653" ht="12.0" customHeight="1">
      <c r="A653" s="10"/>
      <c r="B653" s="10"/>
    </row>
    <row r="654" ht="12.0" customHeight="1">
      <c r="A654" s="10"/>
      <c r="B654" s="10"/>
    </row>
    <row r="655" ht="12.0" customHeight="1">
      <c r="A655" s="10"/>
      <c r="B655" s="10"/>
    </row>
    <row r="656" ht="12.0" customHeight="1">
      <c r="A656" s="10"/>
      <c r="B656" s="10"/>
    </row>
    <row r="657" ht="12.0" customHeight="1">
      <c r="A657" s="10"/>
      <c r="B657" s="10"/>
    </row>
    <row r="658" ht="12.0" customHeight="1">
      <c r="A658" s="10"/>
      <c r="B658" s="10"/>
    </row>
    <row r="659" ht="12.0" customHeight="1">
      <c r="A659" s="10"/>
      <c r="B659" s="10"/>
    </row>
    <row r="660" ht="12.0" customHeight="1">
      <c r="A660" s="10"/>
      <c r="B660" s="10"/>
    </row>
    <row r="661" ht="12.0" customHeight="1">
      <c r="A661" s="10"/>
      <c r="B661" s="10"/>
    </row>
    <row r="662" ht="12.0" customHeight="1">
      <c r="A662" s="10"/>
      <c r="B662" s="10"/>
    </row>
    <row r="663" ht="12.0" customHeight="1">
      <c r="A663" s="10"/>
      <c r="B663" s="10"/>
    </row>
    <row r="664" ht="12.0" customHeight="1">
      <c r="A664" s="10"/>
      <c r="B664" s="10"/>
    </row>
    <row r="665" ht="12.0" customHeight="1">
      <c r="A665" s="10"/>
      <c r="B665" s="10"/>
    </row>
    <row r="666" ht="12.0" customHeight="1">
      <c r="A666" s="10"/>
      <c r="B666" s="10"/>
    </row>
    <row r="667" ht="12.0" customHeight="1">
      <c r="A667" s="10"/>
      <c r="B667" s="10"/>
    </row>
    <row r="668" ht="12.0" customHeight="1">
      <c r="A668" s="10"/>
      <c r="B668" s="10"/>
    </row>
    <row r="669" ht="12.0" customHeight="1">
      <c r="A669" s="10"/>
      <c r="B669" s="10"/>
    </row>
    <row r="670" ht="12.0" customHeight="1">
      <c r="A670" s="10"/>
      <c r="B670" s="10"/>
    </row>
    <row r="671" ht="12.0" customHeight="1">
      <c r="A671" s="10"/>
      <c r="B671" s="10"/>
    </row>
    <row r="672" ht="12.0" customHeight="1">
      <c r="A672" s="10"/>
      <c r="B672" s="10"/>
    </row>
    <row r="673" ht="12.0" customHeight="1">
      <c r="A673" s="10"/>
      <c r="B673" s="10"/>
    </row>
    <row r="674" ht="12.0" customHeight="1">
      <c r="A674" s="10"/>
      <c r="B674" s="10"/>
    </row>
    <row r="675" ht="12.0" customHeight="1">
      <c r="A675" s="10"/>
      <c r="B675" s="10"/>
    </row>
    <row r="676" ht="12.0" customHeight="1">
      <c r="A676" s="10"/>
      <c r="B676" s="10"/>
    </row>
    <row r="677" ht="12.0" customHeight="1">
      <c r="A677" s="10"/>
      <c r="B677" s="10"/>
    </row>
    <row r="678" ht="12.0" customHeight="1">
      <c r="A678" s="10"/>
      <c r="B678" s="10"/>
    </row>
    <row r="679" ht="12.0" customHeight="1">
      <c r="A679" s="10"/>
      <c r="B679" s="10"/>
    </row>
    <row r="680" ht="12.0" customHeight="1">
      <c r="A680" s="10"/>
      <c r="B680" s="10"/>
    </row>
    <row r="681" ht="12.0" customHeight="1">
      <c r="A681" s="10"/>
      <c r="B681" s="10"/>
    </row>
    <row r="682" ht="12.0" customHeight="1">
      <c r="A682" s="10"/>
      <c r="B682" s="10"/>
    </row>
    <row r="683" ht="12.0" customHeight="1">
      <c r="A683" s="10"/>
      <c r="B683" s="10"/>
    </row>
    <row r="684" ht="12.0" customHeight="1">
      <c r="A684" s="10"/>
      <c r="B684" s="10"/>
    </row>
    <row r="685" ht="12.0" customHeight="1">
      <c r="A685" s="10"/>
      <c r="B685" s="10"/>
    </row>
    <row r="686" ht="12.0" customHeight="1">
      <c r="A686" s="10"/>
      <c r="B686" s="10"/>
    </row>
    <row r="687" ht="12.0" customHeight="1">
      <c r="A687" s="10"/>
      <c r="B687" s="10"/>
    </row>
    <row r="688" ht="12.0" customHeight="1">
      <c r="A688" s="10"/>
      <c r="B688" s="10"/>
    </row>
    <row r="689" ht="12.0" customHeight="1">
      <c r="A689" s="10"/>
      <c r="B689" s="10"/>
    </row>
    <row r="690" ht="12.0" customHeight="1">
      <c r="A690" s="10"/>
      <c r="B690" s="10"/>
    </row>
    <row r="691" ht="12.0" customHeight="1">
      <c r="A691" s="10"/>
      <c r="B691" s="10"/>
    </row>
    <row r="692" ht="12.0" customHeight="1">
      <c r="A692" s="10"/>
      <c r="B692" s="10"/>
    </row>
    <row r="693" ht="12.0" customHeight="1">
      <c r="A693" s="10"/>
      <c r="B693" s="10"/>
    </row>
    <row r="694" ht="12.0" customHeight="1">
      <c r="A694" s="10"/>
      <c r="B694" s="10"/>
    </row>
    <row r="695" ht="12.0" customHeight="1">
      <c r="A695" s="10"/>
      <c r="B695" s="10"/>
    </row>
    <row r="696" ht="12.0" customHeight="1">
      <c r="A696" s="10"/>
      <c r="B696" s="10"/>
    </row>
    <row r="697" ht="12.0" customHeight="1">
      <c r="A697" s="10"/>
      <c r="B697" s="10"/>
    </row>
    <row r="698" ht="12.0" customHeight="1">
      <c r="A698" s="10"/>
      <c r="B698" s="10"/>
    </row>
    <row r="699" ht="12.0" customHeight="1">
      <c r="A699" s="10"/>
      <c r="B699" s="10"/>
    </row>
    <row r="700" ht="12.0" customHeight="1">
      <c r="A700" s="10"/>
      <c r="B700" s="10"/>
    </row>
    <row r="701" ht="12.0" customHeight="1">
      <c r="A701" s="10"/>
      <c r="B701" s="10"/>
    </row>
    <row r="702" ht="12.0" customHeight="1">
      <c r="A702" s="10"/>
      <c r="B702" s="10"/>
    </row>
    <row r="703" ht="12.0" customHeight="1">
      <c r="A703" s="10"/>
      <c r="B703" s="10"/>
    </row>
    <row r="704" ht="12.0" customHeight="1">
      <c r="A704" s="10"/>
      <c r="B704" s="10"/>
    </row>
    <row r="705" ht="12.0" customHeight="1">
      <c r="A705" s="10"/>
      <c r="B705" s="10"/>
    </row>
    <row r="706" ht="12.0" customHeight="1">
      <c r="A706" s="10"/>
      <c r="B706" s="10"/>
    </row>
    <row r="707" ht="12.0" customHeight="1">
      <c r="A707" s="10"/>
      <c r="B707" s="10"/>
    </row>
    <row r="708" ht="12.0" customHeight="1">
      <c r="A708" s="10"/>
      <c r="B708" s="10"/>
    </row>
    <row r="709" ht="12.0" customHeight="1">
      <c r="A709" s="10"/>
      <c r="B709" s="10"/>
    </row>
    <row r="710" ht="12.0" customHeight="1">
      <c r="A710" s="10"/>
      <c r="B710" s="10"/>
    </row>
    <row r="711" ht="12.0" customHeight="1">
      <c r="A711" s="10"/>
      <c r="B711" s="10"/>
    </row>
    <row r="712" ht="12.0" customHeight="1">
      <c r="A712" s="10"/>
      <c r="B712" s="10"/>
    </row>
    <row r="713" ht="12.0" customHeight="1">
      <c r="A713" s="10"/>
      <c r="B713" s="10"/>
    </row>
    <row r="714" ht="12.0" customHeight="1">
      <c r="A714" s="10"/>
      <c r="B714" s="10"/>
    </row>
    <row r="715" ht="12.0" customHeight="1">
      <c r="A715" s="10"/>
      <c r="B715" s="10"/>
    </row>
    <row r="716" ht="12.0" customHeight="1">
      <c r="A716" s="10"/>
      <c r="B716" s="10"/>
    </row>
    <row r="717" ht="12.0" customHeight="1">
      <c r="A717" s="10"/>
      <c r="B717" s="10"/>
    </row>
    <row r="718" ht="12.0" customHeight="1">
      <c r="A718" s="10"/>
      <c r="B718" s="10"/>
    </row>
    <row r="719" ht="12.0" customHeight="1">
      <c r="A719" s="10"/>
      <c r="B719" s="10"/>
    </row>
    <row r="720" ht="12.0" customHeight="1">
      <c r="A720" s="10"/>
      <c r="B720" s="10"/>
    </row>
    <row r="721" ht="12.0" customHeight="1">
      <c r="A721" s="10"/>
      <c r="B721" s="10"/>
    </row>
    <row r="722" ht="12.0" customHeight="1">
      <c r="A722" s="10"/>
      <c r="B722" s="10"/>
    </row>
    <row r="723" ht="12.0" customHeight="1">
      <c r="A723" s="10"/>
      <c r="B723" s="10"/>
    </row>
    <row r="724" ht="12.0" customHeight="1">
      <c r="A724" s="10"/>
      <c r="B724" s="10"/>
    </row>
    <row r="725" ht="12.0" customHeight="1">
      <c r="A725" s="10"/>
      <c r="B725" s="10"/>
    </row>
    <row r="726" ht="12.0" customHeight="1">
      <c r="A726" s="10"/>
      <c r="B726" s="10"/>
    </row>
    <row r="727" ht="12.0" customHeight="1">
      <c r="A727" s="10"/>
      <c r="B727" s="10"/>
    </row>
    <row r="728" ht="12.0" customHeight="1">
      <c r="A728" s="10"/>
      <c r="B728" s="10"/>
    </row>
    <row r="729" ht="12.0" customHeight="1">
      <c r="A729" s="10"/>
      <c r="B729" s="10"/>
    </row>
    <row r="730" ht="12.0" customHeight="1">
      <c r="A730" s="10"/>
      <c r="B730" s="10"/>
    </row>
    <row r="731" ht="12.0" customHeight="1">
      <c r="A731" s="10"/>
      <c r="B731" s="10"/>
    </row>
    <row r="732" ht="12.0" customHeight="1">
      <c r="A732" s="10"/>
      <c r="B732" s="10"/>
    </row>
    <row r="733" ht="12.0" customHeight="1">
      <c r="A733" s="10"/>
      <c r="B733" s="10"/>
    </row>
    <row r="734" ht="12.0" customHeight="1">
      <c r="A734" s="10"/>
      <c r="B734" s="10"/>
    </row>
    <row r="735" ht="12.0" customHeight="1">
      <c r="A735" s="10"/>
      <c r="B735" s="10"/>
    </row>
    <row r="736" ht="12.0" customHeight="1">
      <c r="A736" s="10"/>
      <c r="B736" s="10"/>
    </row>
    <row r="737" ht="12.0" customHeight="1">
      <c r="A737" s="10"/>
      <c r="B737" s="10"/>
    </row>
    <row r="738" ht="12.0" customHeight="1">
      <c r="A738" s="10"/>
      <c r="B738" s="10"/>
    </row>
    <row r="739" ht="12.0" customHeight="1">
      <c r="A739" s="10"/>
      <c r="B739" s="10"/>
    </row>
    <row r="740" ht="12.0" customHeight="1">
      <c r="A740" s="10"/>
      <c r="B740" s="10"/>
    </row>
    <row r="741" ht="12.0" customHeight="1">
      <c r="A741" s="10"/>
      <c r="B741" s="10"/>
    </row>
    <row r="742" ht="12.0" customHeight="1">
      <c r="A742" s="10"/>
      <c r="B742" s="10"/>
    </row>
    <row r="743" ht="12.0" customHeight="1">
      <c r="A743" s="10"/>
      <c r="B743" s="10"/>
    </row>
    <row r="744" ht="12.0" customHeight="1">
      <c r="A744" s="10"/>
      <c r="B744" s="10"/>
    </row>
    <row r="745" ht="12.0" customHeight="1">
      <c r="A745" s="10"/>
      <c r="B745" s="10"/>
    </row>
    <row r="746" ht="12.0" customHeight="1">
      <c r="A746" s="10"/>
      <c r="B746" s="10"/>
    </row>
    <row r="747" ht="12.0" customHeight="1">
      <c r="A747" s="10"/>
      <c r="B747" s="10"/>
    </row>
    <row r="748" ht="12.0" customHeight="1">
      <c r="A748" s="10"/>
      <c r="B748" s="10"/>
    </row>
    <row r="749" ht="12.0" customHeight="1">
      <c r="A749" s="10"/>
      <c r="B749" s="10"/>
    </row>
    <row r="750" ht="12.0" customHeight="1">
      <c r="A750" s="10"/>
      <c r="B750" s="10"/>
    </row>
    <row r="751" ht="12.0" customHeight="1">
      <c r="A751" s="10"/>
      <c r="B751" s="10"/>
    </row>
    <row r="752" ht="12.0" customHeight="1">
      <c r="A752" s="10"/>
      <c r="B752" s="10"/>
    </row>
    <row r="753" ht="12.0" customHeight="1">
      <c r="A753" s="10"/>
      <c r="B753" s="10"/>
    </row>
    <row r="754" ht="12.0" customHeight="1">
      <c r="A754" s="10"/>
      <c r="B754" s="10"/>
    </row>
    <row r="755" ht="12.0" customHeight="1">
      <c r="A755" s="10"/>
      <c r="B755" s="10"/>
    </row>
    <row r="756" ht="12.0" customHeight="1">
      <c r="A756" s="10"/>
      <c r="B756" s="10"/>
    </row>
    <row r="757" ht="12.0" customHeight="1">
      <c r="A757" s="10"/>
      <c r="B757" s="10"/>
    </row>
    <row r="758" ht="12.0" customHeight="1">
      <c r="A758" s="10"/>
      <c r="B758" s="10"/>
    </row>
    <row r="759" ht="12.0" customHeight="1">
      <c r="A759" s="10"/>
      <c r="B759" s="10"/>
    </row>
    <row r="760" ht="12.0" customHeight="1">
      <c r="A760" s="10"/>
      <c r="B760" s="10"/>
    </row>
    <row r="761" ht="12.0" customHeight="1">
      <c r="A761" s="10"/>
      <c r="B761" s="10"/>
    </row>
    <row r="762" ht="12.0" customHeight="1">
      <c r="A762" s="10"/>
      <c r="B762" s="10"/>
    </row>
    <row r="763" ht="12.0" customHeight="1">
      <c r="A763" s="10"/>
      <c r="B763" s="10"/>
    </row>
    <row r="764" ht="12.0" customHeight="1">
      <c r="A764" s="10"/>
      <c r="B764" s="10"/>
    </row>
    <row r="765" ht="12.0" customHeight="1">
      <c r="A765" s="10"/>
      <c r="B765" s="10"/>
    </row>
    <row r="766" ht="12.0" customHeight="1">
      <c r="A766" s="10"/>
      <c r="B766" s="10"/>
    </row>
    <row r="767" ht="12.0" customHeight="1">
      <c r="A767" s="10"/>
      <c r="B767" s="10"/>
    </row>
    <row r="768" ht="12.0" customHeight="1">
      <c r="A768" s="10"/>
      <c r="B768" s="10"/>
    </row>
    <row r="769" ht="12.0" customHeight="1">
      <c r="A769" s="10"/>
      <c r="B769" s="10"/>
    </row>
    <row r="770" ht="12.0" customHeight="1">
      <c r="A770" s="10"/>
      <c r="B770" s="10"/>
    </row>
    <row r="771" ht="12.0" customHeight="1">
      <c r="A771" s="10"/>
      <c r="B771" s="10"/>
    </row>
    <row r="772" ht="12.0" customHeight="1">
      <c r="A772" s="10"/>
      <c r="B772" s="10"/>
    </row>
    <row r="773" ht="12.0" customHeight="1">
      <c r="A773" s="10"/>
      <c r="B773" s="10"/>
    </row>
    <row r="774" ht="12.0" customHeight="1">
      <c r="A774" s="10"/>
      <c r="B774" s="10"/>
    </row>
    <row r="775" ht="12.0" customHeight="1">
      <c r="A775" s="10"/>
      <c r="B775" s="10"/>
    </row>
    <row r="776" ht="12.0" customHeight="1">
      <c r="A776" s="10"/>
      <c r="B776" s="10"/>
    </row>
    <row r="777" ht="12.0" customHeight="1">
      <c r="A777" s="10"/>
      <c r="B777" s="10"/>
    </row>
    <row r="778" ht="12.0" customHeight="1">
      <c r="A778" s="10"/>
      <c r="B778" s="10"/>
    </row>
    <row r="779" ht="12.0" customHeight="1">
      <c r="A779" s="10"/>
      <c r="B779" s="10"/>
    </row>
    <row r="780" ht="12.0" customHeight="1">
      <c r="A780" s="10"/>
      <c r="B780" s="10"/>
    </row>
    <row r="781" ht="12.0" customHeight="1">
      <c r="A781" s="10"/>
      <c r="B781" s="10"/>
    </row>
    <row r="782" ht="12.0" customHeight="1">
      <c r="A782" s="10"/>
      <c r="B782" s="10"/>
    </row>
    <row r="783" ht="12.0" customHeight="1">
      <c r="A783" s="10"/>
      <c r="B783" s="10"/>
    </row>
    <row r="784" ht="12.0" customHeight="1">
      <c r="A784" s="10"/>
      <c r="B784" s="10"/>
    </row>
    <row r="785" ht="12.0" customHeight="1">
      <c r="A785" s="10"/>
      <c r="B785" s="10"/>
    </row>
    <row r="786" ht="12.0" customHeight="1">
      <c r="A786" s="10"/>
      <c r="B786" s="10"/>
    </row>
    <row r="787" ht="12.0" customHeight="1">
      <c r="A787" s="10"/>
      <c r="B787" s="10"/>
    </row>
    <row r="788" ht="12.0" customHeight="1">
      <c r="A788" s="10"/>
      <c r="B788" s="10"/>
    </row>
    <row r="789" ht="12.0" customHeight="1">
      <c r="A789" s="10"/>
      <c r="B789" s="10"/>
    </row>
    <row r="790" ht="12.0" customHeight="1">
      <c r="A790" s="10"/>
      <c r="B790" s="10"/>
    </row>
    <row r="791" ht="12.0" customHeight="1">
      <c r="A791" s="10"/>
      <c r="B791" s="10"/>
    </row>
    <row r="792" ht="12.0" customHeight="1">
      <c r="A792" s="10"/>
      <c r="B792" s="10"/>
    </row>
    <row r="793" ht="12.0" customHeight="1">
      <c r="A793" s="10"/>
      <c r="B793" s="10"/>
    </row>
    <row r="794" ht="12.0" customHeight="1">
      <c r="A794" s="10"/>
      <c r="B794" s="10"/>
    </row>
    <row r="795" ht="12.0" customHeight="1">
      <c r="A795" s="10"/>
      <c r="B795" s="10"/>
    </row>
    <row r="796" ht="12.0" customHeight="1">
      <c r="A796" s="10"/>
      <c r="B796" s="10"/>
    </row>
    <row r="797" ht="12.0" customHeight="1">
      <c r="A797" s="10"/>
      <c r="B797" s="10"/>
    </row>
    <row r="798" ht="12.0" customHeight="1">
      <c r="A798" s="10"/>
      <c r="B798" s="10"/>
    </row>
    <row r="799" ht="12.0" customHeight="1">
      <c r="A799" s="10"/>
      <c r="B799" s="10"/>
    </row>
    <row r="800" ht="12.0" customHeight="1">
      <c r="A800" s="10"/>
      <c r="B800" s="10"/>
    </row>
    <row r="801" ht="12.0" customHeight="1">
      <c r="A801" s="10"/>
      <c r="B801" s="10"/>
    </row>
    <row r="802" ht="12.0" customHeight="1">
      <c r="A802" s="10"/>
      <c r="B802" s="10"/>
    </row>
    <row r="803" ht="12.0" customHeight="1">
      <c r="A803" s="10"/>
      <c r="B803" s="10"/>
    </row>
    <row r="804" ht="12.0" customHeight="1">
      <c r="A804" s="10"/>
      <c r="B804" s="10"/>
    </row>
    <row r="805" ht="12.0" customHeight="1">
      <c r="A805" s="10"/>
      <c r="B805" s="10"/>
    </row>
    <row r="806" ht="12.0" customHeight="1">
      <c r="A806" s="10"/>
      <c r="B806" s="10"/>
    </row>
    <row r="807" ht="12.0" customHeight="1">
      <c r="A807" s="10"/>
      <c r="B807" s="10"/>
    </row>
    <row r="808" ht="12.0" customHeight="1">
      <c r="A808" s="10"/>
      <c r="B808" s="10"/>
    </row>
    <row r="809" ht="12.0" customHeight="1">
      <c r="A809" s="10"/>
      <c r="B809" s="10"/>
    </row>
    <row r="810" ht="12.0" customHeight="1">
      <c r="A810" s="10"/>
      <c r="B810" s="10"/>
    </row>
    <row r="811" ht="12.0" customHeight="1">
      <c r="A811" s="10"/>
      <c r="B811" s="10"/>
    </row>
    <row r="812" ht="12.0" customHeight="1">
      <c r="A812" s="10"/>
      <c r="B812" s="10"/>
    </row>
    <row r="813" ht="12.0" customHeight="1">
      <c r="A813" s="10"/>
      <c r="B813" s="10"/>
    </row>
    <row r="814" ht="12.0" customHeight="1">
      <c r="A814" s="10"/>
      <c r="B814" s="10"/>
    </row>
    <row r="815" ht="12.0" customHeight="1">
      <c r="A815" s="10"/>
      <c r="B815" s="10"/>
    </row>
    <row r="816" ht="12.0" customHeight="1">
      <c r="A816" s="10"/>
      <c r="B816" s="10"/>
    </row>
    <row r="817" ht="12.0" customHeight="1">
      <c r="A817" s="10"/>
      <c r="B817" s="10"/>
    </row>
    <row r="818" ht="12.0" customHeight="1">
      <c r="A818" s="10"/>
      <c r="B818" s="10"/>
    </row>
    <row r="819" ht="12.0" customHeight="1">
      <c r="A819" s="10"/>
      <c r="B819" s="10"/>
    </row>
    <row r="820" ht="12.0" customHeight="1">
      <c r="A820" s="10"/>
      <c r="B820" s="10"/>
    </row>
    <row r="821" ht="12.0" customHeight="1">
      <c r="A821" s="10"/>
      <c r="B821" s="10"/>
    </row>
    <row r="822" ht="12.0" customHeight="1">
      <c r="A822" s="10"/>
      <c r="B822" s="10"/>
    </row>
    <row r="823" ht="12.0" customHeight="1">
      <c r="A823" s="10"/>
      <c r="B823" s="10"/>
    </row>
    <row r="824" ht="12.0" customHeight="1">
      <c r="A824" s="10"/>
      <c r="B824" s="10"/>
    </row>
    <row r="825" ht="12.0" customHeight="1">
      <c r="A825" s="10"/>
      <c r="B825" s="10"/>
    </row>
    <row r="826" ht="12.0" customHeight="1">
      <c r="A826" s="10"/>
      <c r="B826" s="10"/>
    </row>
    <row r="827" ht="12.0" customHeight="1">
      <c r="A827" s="10"/>
      <c r="B827" s="10"/>
    </row>
    <row r="828" ht="12.0" customHeight="1">
      <c r="A828" s="10"/>
      <c r="B828" s="10"/>
    </row>
    <row r="829" ht="12.0" customHeight="1">
      <c r="A829" s="10"/>
      <c r="B829" s="10"/>
    </row>
    <row r="830" ht="12.0" customHeight="1">
      <c r="A830" s="10"/>
      <c r="B830" s="10"/>
    </row>
    <row r="831" ht="12.0" customHeight="1">
      <c r="A831" s="10"/>
      <c r="B831" s="10"/>
    </row>
    <row r="832" ht="12.0" customHeight="1">
      <c r="A832" s="10"/>
      <c r="B832" s="10"/>
    </row>
    <row r="833" ht="12.0" customHeight="1">
      <c r="A833" s="10"/>
      <c r="B833" s="10"/>
    </row>
    <row r="834" ht="12.0" customHeight="1">
      <c r="A834" s="10"/>
      <c r="B834" s="10"/>
    </row>
    <row r="835" ht="12.0" customHeight="1">
      <c r="A835" s="10"/>
      <c r="B835" s="10"/>
    </row>
    <row r="836" ht="12.0" customHeight="1">
      <c r="A836" s="10"/>
      <c r="B836" s="10"/>
    </row>
    <row r="837" ht="12.0" customHeight="1">
      <c r="A837" s="10"/>
      <c r="B837" s="10"/>
    </row>
    <row r="838" ht="12.0" customHeight="1">
      <c r="A838" s="10"/>
      <c r="B838" s="10"/>
    </row>
    <row r="839" ht="12.0" customHeight="1">
      <c r="A839" s="10"/>
      <c r="B839" s="10"/>
    </row>
    <row r="840" ht="12.0" customHeight="1">
      <c r="A840" s="10"/>
      <c r="B840" s="10"/>
    </row>
    <row r="841" ht="12.0" customHeight="1">
      <c r="A841" s="10"/>
      <c r="B841" s="10"/>
    </row>
    <row r="842" ht="12.0" customHeight="1">
      <c r="A842" s="10"/>
      <c r="B842" s="10"/>
    </row>
    <row r="843" ht="12.0" customHeight="1">
      <c r="A843" s="10"/>
      <c r="B843" s="10"/>
    </row>
    <row r="844" ht="12.0" customHeight="1">
      <c r="A844" s="10"/>
      <c r="B844" s="10"/>
    </row>
    <row r="845" ht="12.0" customHeight="1">
      <c r="A845" s="10"/>
      <c r="B845" s="10"/>
    </row>
    <row r="846" ht="12.0" customHeight="1">
      <c r="A846" s="10"/>
      <c r="B846" s="10"/>
    </row>
    <row r="847" ht="12.0" customHeight="1">
      <c r="A847" s="10"/>
      <c r="B847" s="10"/>
    </row>
    <row r="848" ht="12.0" customHeight="1">
      <c r="A848" s="10"/>
      <c r="B848" s="10"/>
    </row>
    <row r="849" ht="12.0" customHeight="1">
      <c r="A849" s="10"/>
      <c r="B849" s="10"/>
    </row>
    <row r="850" ht="12.0" customHeight="1">
      <c r="A850" s="10"/>
      <c r="B850" s="10"/>
    </row>
    <row r="851" ht="12.0" customHeight="1">
      <c r="A851" s="10"/>
      <c r="B851" s="10"/>
    </row>
    <row r="852" ht="12.0" customHeight="1">
      <c r="A852" s="10"/>
      <c r="B852" s="10"/>
    </row>
    <row r="853" ht="12.0" customHeight="1">
      <c r="A853" s="10"/>
      <c r="B853" s="10"/>
    </row>
    <row r="854" ht="12.0" customHeight="1">
      <c r="A854" s="10"/>
      <c r="B854" s="10"/>
    </row>
    <row r="855" ht="12.0" customHeight="1">
      <c r="A855" s="10"/>
      <c r="B855" s="10"/>
    </row>
    <row r="856" ht="12.0" customHeight="1">
      <c r="A856" s="10"/>
      <c r="B856" s="10"/>
    </row>
    <row r="857" ht="12.0" customHeight="1">
      <c r="A857" s="10"/>
      <c r="B857" s="10"/>
    </row>
    <row r="858" ht="12.0" customHeight="1">
      <c r="A858" s="10"/>
      <c r="B858" s="10"/>
    </row>
    <row r="859" ht="12.0" customHeight="1">
      <c r="A859" s="10"/>
      <c r="B859" s="10"/>
    </row>
    <row r="860" ht="12.0" customHeight="1">
      <c r="A860" s="10"/>
      <c r="B860" s="10"/>
    </row>
    <row r="861" ht="12.0" customHeight="1">
      <c r="A861" s="10"/>
      <c r="B861" s="10"/>
    </row>
    <row r="862" ht="12.0" customHeight="1">
      <c r="A862" s="10"/>
      <c r="B862" s="10"/>
    </row>
    <row r="863" ht="12.0" customHeight="1">
      <c r="A863" s="10"/>
      <c r="B863" s="10"/>
    </row>
    <row r="864" ht="12.0" customHeight="1">
      <c r="A864" s="10"/>
      <c r="B864" s="10"/>
    </row>
    <row r="865" ht="12.0" customHeight="1">
      <c r="A865" s="10"/>
      <c r="B865" s="10"/>
    </row>
    <row r="866" ht="12.0" customHeight="1">
      <c r="A866" s="10"/>
      <c r="B866" s="10"/>
    </row>
    <row r="867" ht="12.0" customHeight="1">
      <c r="A867" s="10"/>
      <c r="B867" s="10"/>
    </row>
    <row r="868" ht="12.0" customHeight="1">
      <c r="A868" s="10"/>
      <c r="B868" s="10"/>
    </row>
    <row r="869" ht="12.0" customHeight="1">
      <c r="A869" s="10"/>
      <c r="B869" s="10"/>
    </row>
    <row r="870" ht="12.0" customHeight="1">
      <c r="A870" s="10"/>
      <c r="B870" s="10"/>
    </row>
    <row r="871" ht="12.0" customHeight="1">
      <c r="A871" s="10"/>
      <c r="B871" s="10"/>
    </row>
    <row r="872" ht="12.0" customHeight="1">
      <c r="A872" s="10"/>
      <c r="B872" s="10"/>
    </row>
    <row r="873" ht="12.0" customHeight="1">
      <c r="A873" s="10"/>
      <c r="B873" s="10"/>
    </row>
    <row r="874" ht="12.0" customHeight="1">
      <c r="A874" s="10"/>
      <c r="B874" s="10"/>
    </row>
    <row r="875" ht="12.0" customHeight="1">
      <c r="A875" s="10"/>
      <c r="B875" s="10"/>
    </row>
    <row r="876" ht="12.0" customHeight="1">
      <c r="A876" s="10"/>
      <c r="B876" s="10"/>
    </row>
    <row r="877" ht="12.0" customHeight="1">
      <c r="A877" s="10"/>
      <c r="B877" s="10"/>
    </row>
    <row r="878" ht="12.0" customHeight="1">
      <c r="A878" s="10"/>
      <c r="B878" s="10"/>
    </row>
    <row r="879" ht="12.0" customHeight="1">
      <c r="A879" s="10"/>
      <c r="B879" s="10"/>
    </row>
    <row r="880" ht="12.0" customHeight="1">
      <c r="A880" s="10"/>
      <c r="B880" s="10"/>
    </row>
    <row r="881" ht="12.0" customHeight="1">
      <c r="A881" s="10"/>
      <c r="B881" s="10"/>
    </row>
    <row r="882" ht="12.0" customHeight="1">
      <c r="A882" s="10"/>
      <c r="B882" s="10"/>
    </row>
    <row r="883" ht="12.0" customHeight="1">
      <c r="A883" s="10"/>
      <c r="B883" s="10"/>
    </row>
    <row r="884" ht="12.0" customHeight="1">
      <c r="A884" s="10"/>
      <c r="B884" s="10"/>
    </row>
    <row r="885" ht="12.0" customHeight="1">
      <c r="A885" s="10"/>
      <c r="B885" s="10"/>
    </row>
    <row r="886" ht="12.0" customHeight="1">
      <c r="A886" s="10"/>
      <c r="B886" s="10"/>
    </row>
    <row r="887" ht="12.0" customHeight="1">
      <c r="A887" s="10"/>
      <c r="B887" s="10"/>
    </row>
    <row r="888" ht="12.0" customHeight="1">
      <c r="A888" s="10"/>
      <c r="B888" s="10"/>
    </row>
    <row r="889" ht="12.0" customHeight="1">
      <c r="A889" s="10"/>
      <c r="B889" s="10"/>
    </row>
    <row r="890" ht="12.0" customHeight="1">
      <c r="A890" s="10"/>
      <c r="B890" s="10"/>
    </row>
    <row r="891" ht="12.0" customHeight="1">
      <c r="A891" s="10"/>
      <c r="B891" s="10"/>
    </row>
    <row r="892" ht="12.0" customHeight="1">
      <c r="A892" s="10"/>
      <c r="B892" s="10"/>
    </row>
    <row r="893" ht="12.0" customHeight="1">
      <c r="A893" s="10"/>
      <c r="B893" s="10"/>
    </row>
    <row r="894" ht="12.0" customHeight="1">
      <c r="A894" s="10"/>
      <c r="B894" s="10"/>
    </row>
    <row r="895" ht="12.0" customHeight="1">
      <c r="A895" s="10"/>
      <c r="B895" s="10"/>
    </row>
    <row r="896" ht="12.0" customHeight="1">
      <c r="A896" s="10"/>
      <c r="B896" s="10"/>
    </row>
    <row r="897" ht="12.0" customHeight="1">
      <c r="A897" s="10"/>
      <c r="B897" s="10"/>
    </row>
    <row r="898" ht="12.0" customHeight="1">
      <c r="A898" s="10"/>
      <c r="B898" s="10"/>
    </row>
    <row r="899" ht="12.0" customHeight="1">
      <c r="A899" s="10"/>
      <c r="B899" s="10"/>
    </row>
    <row r="900" ht="12.0" customHeight="1">
      <c r="A900" s="10"/>
      <c r="B900" s="10"/>
    </row>
    <row r="901" ht="12.0" customHeight="1">
      <c r="A901" s="10"/>
      <c r="B901" s="10"/>
    </row>
    <row r="902" ht="12.0" customHeight="1">
      <c r="A902" s="10"/>
      <c r="B902" s="10"/>
    </row>
    <row r="903" ht="12.0" customHeight="1">
      <c r="A903" s="10"/>
      <c r="B903" s="10"/>
    </row>
    <row r="904" ht="12.0" customHeight="1">
      <c r="A904" s="10"/>
      <c r="B904" s="10"/>
    </row>
    <row r="905" ht="12.0" customHeight="1">
      <c r="A905" s="10"/>
      <c r="B905" s="10"/>
    </row>
    <row r="906" ht="12.0" customHeight="1">
      <c r="A906" s="10"/>
      <c r="B906" s="10"/>
    </row>
    <row r="907" ht="12.0" customHeight="1">
      <c r="A907" s="10"/>
      <c r="B907" s="10"/>
    </row>
    <row r="908" ht="12.0" customHeight="1">
      <c r="A908" s="10"/>
      <c r="B908" s="10"/>
    </row>
    <row r="909" ht="12.0" customHeight="1">
      <c r="A909" s="10"/>
      <c r="B909" s="10"/>
    </row>
    <row r="910" ht="12.0" customHeight="1">
      <c r="A910" s="10"/>
      <c r="B910" s="10"/>
    </row>
    <row r="911" ht="12.0" customHeight="1">
      <c r="A911" s="10"/>
      <c r="B911" s="10"/>
    </row>
    <row r="912" ht="12.0" customHeight="1">
      <c r="A912" s="10"/>
      <c r="B912" s="10"/>
    </row>
    <row r="913" ht="12.0" customHeight="1">
      <c r="A913" s="10"/>
      <c r="B913" s="10"/>
    </row>
    <row r="914" ht="12.0" customHeight="1">
      <c r="A914" s="10"/>
      <c r="B914" s="10"/>
    </row>
    <row r="915" ht="12.0" customHeight="1">
      <c r="A915" s="10"/>
      <c r="B915" s="10"/>
    </row>
    <row r="916" ht="12.0" customHeight="1">
      <c r="A916" s="10"/>
      <c r="B916" s="10"/>
    </row>
    <row r="917" ht="12.0" customHeight="1">
      <c r="A917" s="10"/>
      <c r="B917" s="10"/>
    </row>
    <row r="918" ht="12.0" customHeight="1">
      <c r="A918" s="10"/>
      <c r="B918" s="10"/>
    </row>
    <row r="919" ht="12.0" customHeight="1">
      <c r="A919" s="10"/>
      <c r="B919" s="10"/>
    </row>
    <row r="920" ht="12.0" customHeight="1">
      <c r="A920" s="10"/>
      <c r="B920" s="10"/>
    </row>
    <row r="921" ht="12.0" customHeight="1">
      <c r="A921" s="10"/>
      <c r="B921" s="10"/>
    </row>
    <row r="922" ht="12.0" customHeight="1">
      <c r="A922" s="10"/>
      <c r="B922" s="10"/>
    </row>
    <row r="923" ht="12.0" customHeight="1">
      <c r="A923" s="10"/>
      <c r="B923" s="10"/>
    </row>
    <row r="924" ht="12.0" customHeight="1">
      <c r="A924" s="10"/>
      <c r="B924" s="10"/>
    </row>
    <row r="925" ht="12.0" customHeight="1">
      <c r="A925" s="10"/>
      <c r="B925" s="10"/>
    </row>
    <row r="926" ht="12.0" customHeight="1">
      <c r="A926" s="10"/>
      <c r="B926" s="10"/>
    </row>
    <row r="927" ht="12.0" customHeight="1">
      <c r="A927" s="10"/>
      <c r="B927" s="10"/>
    </row>
    <row r="928" ht="12.0" customHeight="1">
      <c r="A928" s="10"/>
      <c r="B928" s="10"/>
    </row>
    <row r="929" ht="12.0" customHeight="1">
      <c r="A929" s="10"/>
      <c r="B929" s="10"/>
    </row>
    <row r="930" ht="12.0" customHeight="1">
      <c r="A930" s="10"/>
      <c r="B930" s="10"/>
    </row>
    <row r="931" ht="12.0" customHeight="1">
      <c r="A931" s="10"/>
      <c r="B931" s="10"/>
    </row>
    <row r="932" ht="12.0" customHeight="1">
      <c r="A932" s="10"/>
      <c r="B932" s="10"/>
    </row>
    <row r="933" ht="12.0" customHeight="1">
      <c r="A933" s="10"/>
      <c r="B933" s="10"/>
    </row>
    <row r="934" ht="12.0" customHeight="1">
      <c r="A934" s="10"/>
      <c r="B934" s="10"/>
    </row>
    <row r="935" ht="12.0" customHeight="1">
      <c r="A935" s="10"/>
      <c r="B935" s="10"/>
    </row>
    <row r="936" ht="12.0" customHeight="1">
      <c r="A936" s="10"/>
      <c r="B936" s="10"/>
    </row>
    <row r="937" ht="12.0" customHeight="1">
      <c r="A937" s="10"/>
      <c r="B937" s="10"/>
    </row>
    <row r="938" ht="12.0" customHeight="1">
      <c r="A938" s="10"/>
      <c r="B938" s="10"/>
    </row>
    <row r="939" ht="12.0" customHeight="1">
      <c r="A939" s="10"/>
      <c r="B939" s="10"/>
    </row>
    <row r="940" ht="12.0" customHeight="1">
      <c r="A940" s="10"/>
      <c r="B940" s="10"/>
    </row>
    <row r="941" ht="12.0" customHeight="1">
      <c r="A941" s="10"/>
      <c r="B941" s="10"/>
    </row>
    <row r="942" ht="12.0" customHeight="1">
      <c r="A942" s="10"/>
      <c r="B942" s="10"/>
    </row>
    <row r="943" ht="12.0" customHeight="1">
      <c r="A943" s="10"/>
      <c r="B943" s="10"/>
    </row>
    <row r="944" ht="12.0" customHeight="1">
      <c r="A944" s="10"/>
      <c r="B944" s="10"/>
    </row>
    <row r="945" ht="12.0" customHeight="1">
      <c r="A945" s="10"/>
      <c r="B945" s="10"/>
    </row>
    <row r="946" ht="12.0" customHeight="1">
      <c r="A946" s="10"/>
      <c r="B946" s="10"/>
    </row>
    <row r="947" ht="12.0" customHeight="1">
      <c r="A947" s="10"/>
      <c r="B947" s="10"/>
    </row>
    <row r="948" ht="12.0" customHeight="1">
      <c r="A948" s="10"/>
      <c r="B948" s="10"/>
    </row>
    <row r="949" ht="12.0" customHeight="1">
      <c r="A949" s="10"/>
      <c r="B949" s="10"/>
    </row>
    <row r="950" ht="12.0" customHeight="1">
      <c r="A950" s="10"/>
      <c r="B950" s="10"/>
    </row>
    <row r="951" ht="12.0" customHeight="1">
      <c r="A951" s="10"/>
      <c r="B951" s="10"/>
    </row>
    <row r="952" ht="12.0" customHeight="1">
      <c r="A952" s="10"/>
      <c r="B952" s="10"/>
    </row>
    <row r="953" ht="12.0" customHeight="1">
      <c r="A953" s="10"/>
      <c r="B953" s="10"/>
    </row>
    <row r="954" ht="12.0" customHeight="1">
      <c r="A954" s="10"/>
      <c r="B954" s="10"/>
    </row>
    <row r="955" ht="12.0" customHeight="1">
      <c r="A955" s="10"/>
      <c r="B955" s="10"/>
    </row>
    <row r="956" ht="12.0" customHeight="1">
      <c r="A956" s="10"/>
      <c r="B956" s="10"/>
    </row>
    <row r="957" ht="12.0" customHeight="1">
      <c r="A957" s="10"/>
      <c r="B957" s="10"/>
    </row>
    <row r="958" ht="12.0" customHeight="1">
      <c r="A958" s="10"/>
      <c r="B958" s="10"/>
    </row>
    <row r="959" ht="12.0" customHeight="1">
      <c r="A959" s="10"/>
      <c r="B959" s="10"/>
    </row>
    <row r="960" ht="12.0" customHeight="1">
      <c r="A960" s="10"/>
      <c r="B960" s="10"/>
    </row>
    <row r="961" ht="12.0" customHeight="1">
      <c r="A961" s="10"/>
      <c r="B961" s="10"/>
    </row>
    <row r="962" ht="12.0" customHeight="1">
      <c r="A962" s="10"/>
      <c r="B962" s="10"/>
    </row>
    <row r="963" ht="12.0" customHeight="1">
      <c r="A963" s="10"/>
      <c r="B963" s="10"/>
    </row>
    <row r="964" ht="12.0" customHeight="1">
      <c r="A964" s="10"/>
      <c r="B964" s="10"/>
    </row>
    <row r="965" ht="12.0" customHeight="1">
      <c r="A965" s="10"/>
      <c r="B965" s="10"/>
    </row>
    <row r="966" ht="12.0" customHeight="1">
      <c r="A966" s="10"/>
      <c r="B966" s="10"/>
    </row>
    <row r="967" ht="12.0" customHeight="1">
      <c r="A967" s="10"/>
      <c r="B967" s="10"/>
    </row>
    <row r="968" ht="12.0" customHeight="1">
      <c r="A968" s="10"/>
      <c r="B968" s="10"/>
    </row>
    <row r="969" ht="12.0" customHeight="1">
      <c r="A969" s="10"/>
      <c r="B969" s="10"/>
    </row>
    <row r="970" ht="12.0" customHeight="1">
      <c r="A970" s="10"/>
      <c r="B970" s="10"/>
    </row>
    <row r="971" ht="12.0" customHeight="1">
      <c r="A971" s="10"/>
      <c r="B971" s="10"/>
    </row>
    <row r="972" ht="12.0" customHeight="1">
      <c r="A972" s="10"/>
      <c r="B972" s="10"/>
    </row>
    <row r="973" ht="12.0" customHeight="1">
      <c r="A973" s="10"/>
      <c r="B973" s="10"/>
    </row>
    <row r="974" ht="12.0" customHeight="1">
      <c r="A974" s="10"/>
      <c r="B974" s="10"/>
    </row>
    <row r="975" ht="12.0" customHeight="1">
      <c r="A975" s="10"/>
      <c r="B975" s="10"/>
    </row>
    <row r="976" ht="12.0" customHeight="1">
      <c r="A976" s="10"/>
      <c r="B976" s="10"/>
    </row>
    <row r="977" ht="12.0" customHeight="1">
      <c r="A977" s="10"/>
      <c r="B977" s="10"/>
    </row>
    <row r="978" ht="12.0" customHeight="1">
      <c r="A978" s="10"/>
      <c r="B978" s="10"/>
    </row>
    <row r="979" ht="12.0" customHeight="1">
      <c r="A979" s="10"/>
      <c r="B979" s="10"/>
    </row>
    <row r="980" ht="12.0" customHeight="1">
      <c r="A980" s="10"/>
      <c r="B980" s="10"/>
    </row>
    <row r="981" ht="12.0" customHeight="1">
      <c r="A981" s="10"/>
      <c r="B981" s="10"/>
    </row>
    <row r="982" ht="12.0" customHeight="1">
      <c r="A982" s="10"/>
      <c r="B982" s="10"/>
    </row>
    <row r="983" ht="12.0" customHeight="1">
      <c r="A983" s="10"/>
      <c r="B983" s="10"/>
    </row>
    <row r="984" ht="12.0" customHeight="1">
      <c r="A984" s="10"/>
      <c r="B984" s="10"/>
    </row>
    <row r="985" ht="12.0" customHeight="1">
      <c r="A985" s="10"/>
      <c r="B985" s="10"/>
    </row>
    <row r="986" ht="12.0" customHeight="1">
      <c r="A986" s="10"/>
      <c r="B986" s="10"/>
    </row>
    <row r="987" ht="12.0" customHeight="1">
      <c r="A987" s="10"/>
      <c r="B987" s="10"/>
    </row>
    <row r="988" ht="12.0" customHeight="1">
      <c r="A988" s="10"/>
      <c r="B988" s="10"/>
    </row>
    <row r="989" ht="12.0" customHeight="1">
      <c r="A989" s="10"/>
      <c r="B989" s="10"/>
    </row>
    <row r="990" ht="12.0" customHeight="1">
      <c r="A990" s="10"/>
      <c r="B990" s="10"/>
    </row>
    <row r="991" ht="12.0" customHeight="1">
      <c r="A991" s="10"/>
      <c r="B991" s="10"/>
    </row>
    <row r="992" ht="12.0" customHeight="1">
      <c r="A992" s="10"/>
      <c r="B992" s="10"/>
    </row>
    <row r="993" ht="12.0" customHeight="1">
      <c r="A993" s="10"/>
      <c r="B993" s="10"/>
    </row>
    <row r="994" ht="12.0" customHeight="1">
      <c r="A994" s="10"/>
      <c r="B994" s="10"/>
    </row>
    <row r="995" ht="12.0" customHeight="1">
      <c r="A995" s="10"/>
      <c r="B995" s="10"/>
    </row>
    <row r="996" ht="12.0" customHeight="1">
      <c r="A996" s="10"/>
      <c r="B996" s="10"/>
    </row>
    <row r="997" ht="12.0" customHeight="1">
      <c r="A997" s="10"/>
      <c r="B997" s="10"/>
    </row>
    <row r="998" ht="12.0" customHeight="1">
      <c r="A998" s="10"/>
      <c r="B998" s="10"/>
    </row>
    <row r="999" ht="12.0" customHeight="1">
      <c r="A999" s="10"/>
      <c r="B999" s="10"/>
    </row>
    <row r="1000" ht="12.0" customHeight="1">
      <c r="A1000" s="10"/>
      <c r="B1000" s="10"/>
    </row>
  </sheetData>
  <hyperlinks>
    <hyperlink r:id="rId1" ref="B4"/>
    <hyperlink r:id="rId2" ref="B19"/>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2010-06-09T16:05:03Z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